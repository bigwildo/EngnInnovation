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2.xml" ContentType="application/vnd.openxmlformats-officedocument.drawing+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3.xml" ContentType="application/vnd.openxmlformats-officedocument.drawing+xml"/>
  <Override PartName="/xl/charts/chart7.xml" ContentType="application/vnd.openxmlformats-officedocument.drawingml.chart+xml"/>
  <Override PartName="/xl/printerSettings/printerSettings6.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4505" yWindow="345" windowWidth="9495" windowHeight="9780" firstSheet="2" activeTab="2"/>
  </bookViews>
  <sheets>
    <sheet name="CoverSheet" sheetId="19" state="hidden" r:id="rId1"/>
    <sheet name="InputRanges" sheetId="18" state="hidden" r:id="rId2"/>
    <sheet name="User" sheetId="8" r:id="rId3"/>
    <sheet name="Calc" sheetId="3" state="veryHidden" r:id="rId4"/>
    <sheet name="Settings" sheetId="14" r:id="rId5"/>
    <sheet name="Summary" sheetId="9" r:id="rId6"/>
    <sheet name="RawData" sheetId="15" r:id="rId7"/>
    <sheet name="Report" sheetId="17" r:id="rId8"/>
    <sheet name="Command" sheetId="13" state="veryHidden" r:id="rId9"/>
    <sheet name="Module1" sheetId="4" state="veryHidden" r:id=""/>
  </sheets>
  <functionGroups builtInGroupCount="17"/>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Settings!$E$25</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Settings!$C$18</definedName>
    <definedName name="BaseGainFlag">Command!$E$5</definedName>
    <definedName name="BiasLight">User!$G$6</definedName>
    <definedName name="BiasPtCD">Calc!$M$6</definedName>
    <definedName name="C_cal">Settings!$C$9</definedName>
    <definedName name="C_wafer">Settings!$H$6</definedName>
    <definedName name="CouplingMode">Settings!$C$14</definedName>
    <definedName name="CoverSheetErrorMsg">Calc!$T$2</definedName>
    <definedName name="Dark_Voltage">Calc!$A$6</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ImpliedVoc1sun">Calc!$AB$6</definedName>
    <definedName name="InputRangeAvg">InputRanges!$K$5</definedName>
    <definedName name="InputRangeFit">InputRanges!$J$5</definedName>
    <definedName name="InputRangeMCD">InputRanges!$F$5</definedName>
    <definedName name="InputRangeMode">InputRanges!$G$5</definedName>
    <definedName name="InputRangeOptConst">InputRanges!$E$5</definedName>
    <definedName name="InputRangePC">InputRanges!$H$5</definedName>
    <definedName name="InputRangeRef">InputRanges!$I$5</definedName>
    <definedName name="InputRangeType">InputRanges!$D$5</definedName>
    <definedName name="InputResCoverSheet">CoverSheet!$D$5</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transientFlag">Command!$E$7</definedName>
    <definedName name="MaxApparentCD">Calc!$J$6</definedName>
    <definedName name="MaxSuns">Calc!$F$6</definedName>
    <definedName name="MaxTauLimit">Settings!$C$24</definedName>
    <definedName name="MCDErrorMsg">Calc!$R$2</definedName>
    <definedName name="MeasDate">Calc!$F$2</definedName>
    <definedName name="MeasTime">Calc!$F$3</definedName>
    <definedName name="MeasureCmd">Command!$H$4</definedName>
    <definedName name="MeasuredLifetime">Calc!$R$6</definedName>
    <definedName name="MeasuredLifetimeAuger">Calc!$V$6</definedName>
    <definedName name="MeasuredResistivity">Calc!$C$6</definedName>
    <definedName name="MinApparentCD">Calc!$I$6</definedName>
    <definedName name="MinTauLimit">Settings!$C$23</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Settings!$C$25</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_xlnm.Print_Area" localSheetId="7">Report!$A$1:$G$50</definedName>
    <definedName name="PulseLength">Settings!$E$28</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CoverSheet!$A$5</definedName>
    <definedName name="SampleNameCoverSheet">CoverSheet!$B$5</definedName>
    <definedName name="SampleNameUserSheet">User!$A$6</definedName>
    <definedName name="SampleType">User!$D$6</definedName>
    <definedName name="SheetResistance">Calc!$B$6</definedName>
    <definedName name="ShowUserForm">Settings!$E$17</definedName>
    <definedName name="solver_adj" localSheetId="3" hidden="1">Calc!#REF!,Calc!#REF!</definedName>
    <definedName name="solver_drv" localSheetId="3" hidden="1">1</definedName>
    <definedName name="solver_est" localSheetId="3" hidden="1">1</definedName>
    <definedName name="solver_itr" localSheetId="3" hidden="1">10</definedName>
    <definedName name="solver_lin" localSheetId="3" hidden="1">1</definedName>
    <definedName name="solver_num" localSheetId="3" hidden="1">0</definedName>
    <definedName name="solver_nwt" localSheetId="3" hidden="1">1</definedName>
    <definedName name="solver_opt" localSheetId="3" hidden="1">Calc!#REF!</definedName>
    <definedName name="solver_pre" localSheetId="3" hidden="1">0.001</definedName>
    <definedName name="solver_scl" localSheetId="3" hidden="1">2</definedName>
    <definedName name="solver_sho" localSheetId="3" hidden="1">2</definedName>
    <definedName name="solver_tim" localSheetId="3" hidden="1">30</definedName>
    <definedName name="solver_tol" localSheetId="3" hidden="1">0.05</definedName>
    <definedName name="solver_typ" localSheetId="3" hidden="1">2</definedName>
    <definedName name="solver_val" localSheetId="3" hidden="1">0</definedName>
    <definedName name="SpecMCD">User!$F$6</definedName>
    <definedName name="SpecMCDminusTraps">Calc!$O$6</definedName>
    <definedName name="TauFitIntercept">Calc!$Y$6</definedName>
    <definedName name="TauInvspecMCD">Calc!$X$6</definedName>
    <definedName name="TextSummary">Settings!$E$5</definedName>
    <definedName name="TextSummaryFN">Settings!$F$5</definedName>
    <definedName name="TF_List">Command!$B$29:$B$30</definedName>
    <definedName name="TF_PassFail">Settings!$C$22</definedName>
    <definedName name="Thickness">User!$B$6</definedName>
    <definedName name="ThicknessCoverSheet">CoverSheet!$C$5</definedName>
    <definedName name="TimeofMaxCD">Calc!$K$6</definedName>
    <definedName name="TimeScaleFlags">Command!$H$7</definedName>
    <definedName name="TNumTaus">Settings!$E$30</definedName>
    <definedName name="TransFlashDelay">Settings!$E$22</definedName>
    <definedName name="Traps">Calc!$N$6</definedName>
    <definedName name="TSampleTime">Settings!$E$29</definedName>
    <definedName name="type_list">Command!$B$37:$B$38</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T2" i="3" l="1"/>
  <c r="E9" i="3" l="1"/>
  <c r="D9" i="3" l="1"/>
  <c r="C5" i="18" l="1"/>
  <c r="E5" i="18" s="1"/>
  <c r="D5" i="18" l="1"/>
  <c r="H5" i="18"/>
  <c r="K5" i="18"/>
  <c r="G5" i="18"/>
  <c r="J5" i="18"/>
  <c r="F5" i="18"/>
  <c r="I5" i="18"/>
  <c r="E6" i="3" l="1"/>
  <c r="T1" i="3" s="1"/>
  <c r="C18" i="14" l="1"/>
  <c r="G6" i="3" l="1"/>
  <c r="D17" i="3" l="1"/>
  <c r="B31" i="17" l="1"/>
  <c r="N134" i="3" l="1"/>
  <c r="C34" i="17" l="1"/>
  <c r="D41" i="17" l="1"/>
  <c r="D45" i="17"/>
  <c r="D39" i="17"/>
  <c r="D38" i="17"/>
  <c r="B30" i="17"/>
  <c r="B29" i="17"/>
  <c r="D22" i="17"/>
  <c r="D19" i="17"/>
  <c r="D18" i="17"/>
  <c r="D9" i="17"/>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C17" i="13"/>
  <c r="D17" i="13" s="1"/>
  <c r="F17" i="13" l="1"/>
  <c r="D18" i="13"/>
  <c r="F18" i="13"/>
  <c r="C12" i="13" l="1"/>
  <c r="D12" i="13" s="1"/>
  <c r="E12" i="13" s="1"/>
  <c r="H5" i="13" s="1"/>
  <c r="E11" i="13"/>
  <c r="E9" i="13"/>
  <c r="E8" i="13"/>
  <c r="E7" i="13"/>
  <c r="D5" i="13" l="1"/>
  <c r="E5" i="13" s="1"/>
  <c r="D4" i="13"/>
  <c r="D3" i="13"/>
  <c r="E22" i="13" l="1"/>
  <c r="E23" i="13"/>
  <c r="C22" i="13"/>
  <c r="C23" i="13"/>
  <c r="E3" i="13"/>
  <c r="W2" i="9"/>
  <c r="U2" i="9"/>
  <c r="T2" i="9"/>
  <c r="S2" i="9"/>
  <c r="I2" i="9" l="1"/>
  <c r="H2" i="9"/>
  <c r="G2" i="9"/>
  <c r="F2" i="9"/>
  <c r="D2" i="9"/>
  <c r="C2" i="9"/>
  <c r="B2" i="9"/>
  <c r="A2" i="9"/>
  <c r="E12" i="14"/>
  <c r="C10" i="14" l="1"/>
  <c r="C9" i="14" s="1"/>
  <c r="D43" i="17"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V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O2" i="9" l="1"/>
  <c r="D6" i="3"/>
  <c r="D21" i="17" l="1"/>
  <c r="E2" i="9"/>
  <c r="A6" i="3"/>
  <c r="J2" i="3"/>
  <c r="J9" i="8"/>
  <c r="V134" i="3"/>
  <c r="H57" i="3"/>
  <c r="H22" i="3"/>
  <c r="H38" i="3"/>
  <c r="H31" i="3"/>
  <c r="H70" i="3"/>
  <c r="H14" i="3"/>
  <c r="H90" i="3"/>
  <c r="H53" i="3"/>
  <c r="H26" i="3"/>
  <c r="H85" i="3"/>
  <c r="H74" i="3"/>
  <c r="H37" i="3"/>
  <c r="H78" i="3"/>
  <c r="H104" i="3"/>
  <c r="H51" i="3"/>
  <c r="H12" i="3"/>
  <c r="B6" i="3"/>
  <c r="H96" i="3"/>
  <c r="H29" i="3"/>
  <c r="H48" i="3"/>
  <c r="H47" i="3"/>
  <c r="H44" i="3"/>
  <c r="H128" i="3"/>
  <c r="H99" i="3"/>
  <c r="H21" i="3"/>
  <c r="H127" i="3"/>
  <c r="H110" i="3"/>
  <c r="H82" i="3"/>
  <c r="H66" i="3"/>
  <c r="H9" i="3"/>
  <c r="H89" i="3"/>
  <c r="H113" i="3"/>
  <c r="H71" i="3"/>
  <c r="H88" i="3"/>
  <c r="H65" i="3"/>
  <c r="H54" i="3"/>
  <c r="H46" i="3"/>
  <c r="H86" i="3"/>
  <c r="H120" i="3"/>
  <c r="H100" i="3"/>
  <c r="H33" i="3"/>
  <c r="H45" i="3"/>
  <c r="H109" i="3"/>
  <c r="H30" i="3"/>
  <c r="H55" i="3"/>
  <c r="W134" i="3" l="1"/>
  <c r="B8" i="19"/>
  <c r="D10" i="17"/>
  <c r="M2" i="9"/>
  <c r="C6" i="3"/>
  <c r="N2" i="9" l="1"/>
  <c r="C8" i="19"/>
  <c r="N94" i="3"/>
  <c r="N96" i="3"/>
  <c r="N99" i="3"/>
  <c r="N98" i="3"/>
  <c r="N95" i="3"/>
  <c r="N97" i="3" l="1"/>
  <c r="M6" i="3" s="1"/>
  <c r="C9" i="8"/>
  <c r="B9" i="8"/>
  <c r="H9" i="8" l="1"/>
  <c r="H17" i="3"/>
  <c r="H112" i="3"/>
  <c r="H102" i="3"/>
  <c r="H101" i="3"/>
  <c r="H67" i="3"/>
  <c r="H62" i="3"/>
  <c r="H121" i="3"/>
  <c r="H32" i="3"/>
  <c r="H123" i="3"/>
  <c r="H76" i="3"/>
  <c r="I12" i="3"/>
  <c r="I30" i="3"/>
  <c r="I65" i="3"/>
  <c r="I26" i="3"/>
  <c r="I127" i="3"/>
  <c r="H116" i="3"/>
  <c r="H36" i="3"/>
  <c r="H103" i="3"/>
  <c r="H91" i="3"/>
  <c r="H84" i="3"/>
  <c r="H64" i="3"/>
  <c r="H16" i="3"/>
  <c r="H52" i="3"/>
  <c r="H24" i="3"/>
  <c r="H87" i="3"/>
  <c r="I47" i="3"/>
  <c r="I99" i="3"/>
  <c r="I44" i="3"/>
  <c r="I86" i="3"/>
  <c r="I90" i="3"/>
  <c r="I51" i="3"/>
  <c r="I33" i="3"/>
  <c r="H39" i="3"/>
  <c r="H133" i="3"/>
  <c r="H28" i="3"/>
  <c r="H108" i="3"/>
  <c r="H58" i="3"/>
  <c r="H77" i="3"/>
  <c r="H69" i="3"/>
  <c r="H60" i="3"/>
  <c r="H124" i="3"/>
  <c r="H19" i="3"/>
  <c r="I53" i="3"/>
  <c r="I78" i="3"/>
  <c r="I14" i="3"/>
  <c r="I21" i="3"/>
  <c r="I54" i="3"/>
  <c r="H92" i="3"/>
  <c r="H72" i="3"/>
  <c r="H132" i="3"/>
  <c r="H50" i="3"/>
  <c r="H119" i="3"/>
  <c r="H83" i="3"/>
  <c r="H40" i="3"/>
  <c r="H34" i="3"/>
  <c r="H81" i="3"/>
  <c r="H10" i="3"/>
  <c r="H93" i="3"/>
  <c r="I40" i="3"/>
  <c r="I46" i="3"/>
  <c r="I100" i="3"/>
  <c r="I22" i="3"/>
  <c r="I128" i="3"/>
  <c r="I109" i="3"/>
  <c r="I57" i="3"/>
  <c r="H106" i="3"/>
  <c r="H42" i="3"/>
  <c r="I42" i="3" s="1"/>
  <c r="H56" i="3"/>
  <c r="H80" i="3"/>
  <c r="H122" i="3"/>
  <c r="I122" i="3" s="1"/>
  <c r="H95" i="3"/>
  <c r="H126" i="3"/>
  <c r="H129" i="3"/>
  <c r="H15" i="3"/>
  <c r="H59" i="3"/>
  <c r="I48" i="3"/>
  <c r="I31" i="3"/>
  <c r="I88" i="3"/>
  <c r="I104" i="3"/>
  <c r="I66" i="3"/>
  <c r="I113" i="3"/>
  <c r="H125" i="3"/>
  <c r="H107" i="3"/>
  <c r="H25" i="3"/>
  <c r="H13" i="3"/>
  <c r="H94" i="3"/>
  <c r="H49" i="3"/>
  <c r="H11" i="3"/>
  <c r="H41" i="3"/>
  <c r="H79" i="3"/>
  <c r="H118" i="3"/>
  <c r="I82" i="3"/>
  <c r="I120" i="3"/>
  <c r="I45" i="3"/>
  <c r="I125" i="3"/>
  <c r="I89" i="3"/>
  <c r="I29" i="3"/>
  <c r="I85" i="3"/>
  <c r="I71" i="3"/>
  <c r="H117" i="3"/>
  <c r="H75" i="3"/>
  <c r="H73" i="3"/>
  <c r="H98" i="3"/>
  <c r="H130" i="3"/>
  <c r="H115" i="3"/>
  <c r="H131" i="3"/>
  <c r="H27" i="3"/>
  <c r="H61" i="3"/>
  <c r="H97" i="3"/>
  <c r="I37" i="3"/>
  <c r="I55" i="3"/>
  <c r="I74" i="3"/>
  <c r="I110" i="3"/>
  <c r="I95" i="3"/>
  <c r="I70" i="3"/>
  <c r="H43" i="3"/>
  <c r="H105" i="3"/>
  <c r="H20" i="3"/>
  <c r="H18" i="3"/>
  <c r="H68" i="3"/>
  <c r="H35" i="3"/>
  <c r="H63" i="3"/>
  <c r="H111" i="3"/>
  <c r="H114" i="3"/>
  <c r="H23" i="3"/>
  <c r="I9" i="3"/>
  <c r="I38" i="3"/>
  <c r="I96" i="3"/>
  <c r="K95" i="3" l="1"/>
  <c r="D88" i="15"/>
  <c r="D83" i="15"/>
  <c r="K90" i="3"/>
  <c r="D63" i="15"/>
  <c r="K70" i="3"/>
  <c r="K14" i="3"/>
  <c r="D7" i="15"/>
  <c r="K125" i="3"/>
  <c r="D118" i="15"/>
  <c r="K86" i="3"/>
  <c r="D79" i="15"/>
  <c r="K82" i="3"/>
  <c r="D75" i="15"/>
  <c r="D2" i="15"/>
  <c r="K9" i="3"/>
  <c r="K110" i="3"/>
  <c r="D103" i="15"/>
  <c r="K54" i="3"/>
  <c r="D47" i="15"/>
  <c r="D81" i="15"/>
  <c r="K88" i="3"/>
  <c r="K44" i="3"/>
  <c r="D37" i="15"/>
  <c r="K22" i="3"/>
  <c r="D15" i="15"/>
  <c r="D19" i="15"/>
  <c r="K26" i="3"/>
  <c r="D41" i="15"/>
  <c r="K48" i="3"/>
  <c r="K99" i="3"/>
  <c r="D92" i="15"/>
  <c r="K100" i="3"/>
  <c r="D93" i="15"/>
  <c r="K12" i="3"/>
  <c r="D5" i="15"/>
  <c r="D120" i="15"/>
  <c r="K127" i="3"/>
  <c r="K74" i="3"/>
  <c r="D67" i="15"/>
  <c r="D106" i="15"/>
  <c r="K113" i="3"/>
  <c r="K46" i="3"/>
  <c r="D39" i="15"/>
  <c r="D64" i="15"/>
  <c r="K71" i="3"/>
  <c r="K55" i="3"/>
  <c r="D48" i="15"/>
  <c r="K53" i="3"/>
  <c r="D46" i="15"/>
  <c r="K89" i="3"/>
  <c r="D82" i="15"/>
  <c r="D78" i="15"/>
  <c r="K85" i="3"/>
  <c r="K65" i="3"/>
  <c r="D58" i="15"/>
  <c r="D31" i="15"/>
  <c r="K38" i="3"/>
  <c r="K47" i="3"/>
  <c r="D40" i="15"/>
  <c r="K33" i="3"/>
  <c r="D26" i="15"/>
  <c r="K51" i="3"/>
  <c r="D44" i="15"/>
  <c r="K122" i="3"/>
  <c r="D115" i="15"/>
  <c r="K104" i="3"/>
  <c r="D97" i="15"/>
  <c r="D71" i="15"/>
  <c r="K78" i="3"/>
  <c r="D33" i="15"/>
  <c r="K40" i="3"/>
  <c r="D102" i="15"/>
  <c r="K109" i="3"/>
  <c r="K66" i="3"/>
  <c r="D59" i="15"/>
  <c r="D22" i="15"/>
  <c r="K29" i="3"/>
  <c r="D113" i="15"/>
  <c r="K120" i="3"/>
  <c r="D38" i="15"/>
  <c r="K45" i="3"/>
  <c r="K30" i="3"/>
  <c r="D23" i="15"/>
  <c r="K96" i="3"/>
  <c r="D89" i="15"/>
  <c r="D30" i="15"/>
  <c r="K37" i="3"/>
  <c r="K31" i="3"/>
  <c r="D24" i="15"/>
  <c r="K21" i="3"/>
  <c r="D14" i="15"/>
  <c r="D121" i="15"/>
  <c r="K128" i="3"/>
  <c r="K57" i="3"/>
  <c r="D50" i="15"/>
  <c r="K42" i="3"/>
  <c r="D35" i="15"/>
  <c r="J6" i="8"/>
  <c r="I6" i="8"/>
  <c r="I75" i="3"/>
  <c r="I63" i="3"/>
  <c r="I87" i="3"/>
  <c r="I80" i="3"/>
  <c r="V88" i="3"/>
  <c r="I105" i="3"/>
  <c r="V70" i="3"/>
  <c r="V51" i="3"/>
  <c r="I101" i="3"/>
  <c r="V54" i="3"/>
  <c r="I61" i="3"/>
  <c r="I108" i="3"/>
  <c r="I16" i="3"/>
  <c r="I28" i="3"/>
  <c r="I126" i="3"/>
  <c r="I17" i="3"/>
  <c r="I52" i="3"/>
  <c r="I97" i="3"/>
  <c r="V38" i="3"/>
  <c r="V125" i="3"/>
  <c r="V55" i="3"/>
  <c r="V47" i="3"/>
  <c r="V95" i="3"/>
  <c r="I81" i="3"/>
  <c r="I93" i="3"/>
  <c r="I19" i="3"/>
  <c r="I18" i="3"/>
  <c r="I69" i="3"/>
  <c r="I36" i="3"/>
  <c r="I98" i="3"/>
  <c r="V46" i="3"/>
  <c r="V86" i="3"/>
  <c r="V120" i="3"/>
  <c r="V14" i="3"/>
  <c r="V85" i="3"/>
  <c r="V71" i="3"/>
  <c r="V113" i="3"/>
  <c r="V109" i="3"/>
  <c r="I27" i="3"/>
  <c r="I23" i="3"/>
  <c r="I43" i="3"/>
  <c r="I50" i="3"/>
  <c r="I76" i="3"/>
  <c r="I132" i="3"/>
  <c r="I133" i="3"/>
  <c r="V21" i="3"/>
  <c r="V9" i="3"/>
  <c r="V37" i="3"/>
  <c r="V99" i="3"/>
  <c r="I58" i="3"/>
  <c r="V26" i="3"/>
  <c r="V66" i="3"/>
  <c r="I32" i="3"/>
  <c r="I111" i="3"/>
  <c r="I131" i="3"/>
  <c r="I83" i="3"/>
  <c r="V110" i="3"/>
  <c r="I129" i="3"/>
  <c r="I124" i="3"/>
  <c r="I35" i="3"/>
  <c r="V104" i="3"/>
  <c r="I59" i="3"/>
  <c r="V12" i="3"/>
  <c r="V53" i="3"/>
  <c r="V30" i="3"/>
  <c r="I130" i="3"/>
  <c r="V122" i="3"/>
  <c r="I68" i="3"/>
  <c r="I72" i="3"/>
  <c r="I121" i="3"/>
  <c r="I116" i="3"/>
  <c r="I20" i="3"/>
  <c r="I60" i="3"/>
  <c r="I11" i="3"/>
  <c r="I64" i="3"/>
  <c r="V22" i="3"/>
  <c r="V127" i="3"/>
  <c r="I13" i="3"/>
  <c r="V44" i="3"/>
  <c r="V40" i="3"/>
  <c r="I34" i="3"/>
  <c r="V78" i="3"/>
  <c r="I94" i="3"/>
  <c r="I49" i="3"/>
  <c r="I115" i="3"/>
  <c r="I79" i="3"/>
  <c r="I15" i="3"/>
  <c r="I102" i="3"/>
  <c r="I84" i="3"/>
  <c r="V42" i="3"/>
  <c r="V96" i="3"/>
  <c r="V82" i="3"/>
  <c r="V57" i="3"/>
  <c r="V89" i="3"/>
  <c r="I67" i="3"/>
  <c r="I107" i="3"/>
  <c r="I24" i="3"/>
  <c r="I62" i="3"/>
  <c r="I77" i="3"/>
  <c r="I41" i="3"/>
  <c r="I91" i="3"/>
  <c r="I119" i="3"/>
  <c r="V31" i="3"/>
  <c r="V48" i="3"/>
  <c r="V90" i="3"/>
  <c r="V45" i="3"/>
  <c r="V100" i="3"/>
  <c r="V29" i="3"/>
  <c r="I39" i="3"/>
  <c r="I118" i="3"/>
  <c r="I73" i="3"/>
  <c r="I92" i="3"/>
  <c r="I117" i="3"/>
  <c r="I10" i="3"/>
  <c r="I106" i="3"/>
  <c r="I103" i="3"/>
  <c r="V74" i="3"/>
  <c r="V33" i="3"/>
  <c r="V65" i="3"/>
  <c r="I114" i="3"/>
  <c r="I112" i="3"/>
  <c r="I25" i="3"/>
  <c r="I123" i="3"/>
  <c r="I56" i="3"/>
  <c r="V128" i="3"/>
  <c r="D68" i="15" l="1"/>
  <c r="K75" i="3"/>
  <c r="K121" i="3"/>
  <c r="D114" i="15"/>
  <c r="K112" i="3"/>
  <c r="D105" i="15"/>
  <c r="K58" i="3"/>
  <c r="D51" i="15"/>
  <c r="K34" i="3"/>
  <c r="D27" i="15"/>
  <c r="K101" i="3"/>
  <c r="D94" i="15"/>
  <c r="D123" i="15"/>
  <c r="K130" i="3"/>
  <c r="K68" i="3"/>
  <c r="D61" i="15"/>
  <c r="D9" i="15"/>
  <c r="K16" i="3"/>
  <c r="K81" i="3"/>
  <c r="D74" i="15"/>
  <c r="K116" i="3"/>
  <c r="D109" i="15"/>
  <c r="D107" i="15"/>
  <c r="K114" i="3"/>
  <c r="K93" i="3"/>
  <c r="D86" i="15"/>
  <c r="K32" i="3"/>
  <c r="L31" i="3" s="1"/>
  <c r="D25" i="15"/>
  <c r="K115" i="3"/>
  <c r="D108" i="15"/>
  <c r="K61" i="3"/>
  <c r="D54" i="15"/>
  <c r="K67" i="3"/>
  <c r="D60" i="15"/>
  <c r="K25" i="3"/>
  <c r="D18" i="15"/>
  <c r="D55" i="15"/>
  <c r="K62" i="3"/>
  <c r="D85" i="15"/>
  <c r="K92" i="3"/>
  <c r="D80" i="15"/>
  <c r="K87" i="3"/>
  <c r="L87" i="3" s="1"/>
  <c r="K11" i="3"/>
  <c r="D4" i="15"/>
  <c r="D49" i="15"/>
  <c r="K56" i="3"/>
  <c r="L55" i="3" s="1"/>
  <c r="K91" i="3"/>
  <c r="D84" i="15"/>
  <c r="D34" i="15"/>
  <c r="K41" i="3"/>
  <c r="K10" i="3"/>
  <c r="D3" i="15"/>
  <c r="K28" i="3"/>
  <c r="L30" i="3" s="1"/>
  <c r="D21" i="15"/>
  <c r="K69" i="3"/>
  <c r="D62" i="15"/>
  <c r="K72" i="3"/>
  <c r="D65" i="15"/>
  <c r="K94" i="3"/>
  <c r="D87" i="15"/>
  <c r="K107" i="3"/>
  <c r="D100" i="15"/>
  <c r="K27" i="3"/>
  <c r="L28" i="3" s="1"/>
  <c r="D20" i="15"/>
  <c r="D116" i="15"/>
  <c r="K123" i="3"/>
  <c r="K20" i="3"/>
  <c r="D13" i="15"/>
  <c r="K18" i="3"/>
  <c r="D11" i="15"/>
  <c r="K119" i="3"/>
  <c r="D112" i="15"/>
  <c r="K102" i="3"/>
  <c r="D95" i="15"/>
  <c r="K13" i="3"/>
  <c r="L12" i="3" s="1"/>
  <c r="D6" i="15"/>
  <c r="W9" i="3"/>
  <c r="D96" i="15"/>
  <c r="K103" i="3"/>
  <c r="K111" i="3"/>
  <c r="D104" i="15"/>
  <c r="D99" i="15"/>
  <c r="K106" i="3"/>
  <c r="D101" i="15"/>
  <c r="K108" i="3"/>
  <c r="K52" i="3"/>
  <c r="D45" i="15"/>
  <c r="D53" i="15"/>
  <c r="K60" i="3"/>
  <c r="K132" i="3"/>
  <c r="D125" i="15"/>
  <c r="D119" i="15"/>
  <c r="K126" i="3"/>
  <c r="K129" i="3"/>
  <c r="D122" i="15"/>
  <c r="L46" i="3"/>
  <c r="L29" i="3"/>
  <c r="D91" i="15"/>
  <c r="K98" i="3"/>
  <c r="K76" i="3"/>
  <c r="D69" i="15"/>
  <c r="K59" i="3"/>
  <c r="D52" i="15"/>
  <c r="K43" i="3"/>
  <c r="D36" i="15"/>
  <c r="D110" i="15"/>
  <c r="K117" i="3"/>
  <c r="D73" i="15"/>
  <c r="K80" i="3"/>
  <c r="D98" i="15"/>
  <c r="K105" i="3"/>
  <c r="K64" i="3"/>
  <c r="D57" i="15"/>
  <c r="K49" i="3"/>
  <c r="L47" i="3" s="1"/>
  <c r="D42" i="15"/>
  <c r="D8" i="15"/>
  <c r="K15" i="3"/>
  <c r="J6" i="3"/>
  <c r="K6" i="3" s="1"/>
  <c r="J132" i="3" s="1"/>
  <c r="I6" i="3"/>
  <c r="F9" i="8" s="1"/>
  <c r="D28" i="15"/>
  <c r="K35" i="3"/>
  <c r="L33" i="3" s="1"/>
  <c r="K36" i="3"/>
  <c r="D29" i="15"/>
  <c r="K97" i="3"/>
  <c r="D90" i="15"/>
  <c r="D43" i="15"/>
  <c r="K50" i="3"/>
  <c r="K131" i="3"/>
  <c r="D124" i="15"/>
  <c r="K23" i="3"/>
  <c r="D16" i="15"/>
  <c r="D17" i="15"/>
  <c r="K24" i="3"/>
  <c r="K79" i="3"/>
  <c r="D72" i="15"/>
  <c r="D117" i="15"/>
  <c r="K124" i="3"/>
  <c r="K17" i="3"/>
  <c r="D10" i="15"/>
  <c r="K84" i="3"/>
  <c r="D77" i="15"/>
  <c r="D12" i="15"/>
  <c r="K19" i="3"/>
  <c r="K118" i="3"/>
  <c r="D111" i="15"/>
  <c r="D66" i="15"/>
  <c r="K73" i="3"/>
  <c r="D76" i="15"/>
  <c r="K83" i="3"/>
  <c r="D56" i="15"/>
  <c r="K63" i="3"/>
  <c r="K133" i="3"/>
  <c r="D126" i="15"/>
  <c r="K39" i="3"/>
  <c r="D32" i="15"/>
  <c r="K77" i="3"/>
  <c r="D70" i="15"/>
  <c r="V107" i="3"/>
  <c r="V63" i="3"/>
  <c r="P29" i="3"/>
  <c r="V87" i="3"/>
  <c r="V124" i="3"/>
  <c r="P28" i="3"/>
  <c r="V41" i="3"/>
  <c r="V25" i="3"/>
  <c r="V39" i="3"/>
  <c r="P93" i="3"/>
  <c r="V106" i="3"/>
  <c r="P56" i="3"/>
  <c r="V97" i="3"/>
  <c r="V69" i="3"/>
  <c r="V98" i="3"/>
  <c r="V79" i="3"/>
  <c r="P87" i="3"/>
  <c r="V61" i="3"/>
  <c r="V92" i="3"/>
  <c r="V114" i="3"/>
  <c r="V52" i="3"/>
  <c r="V80" i="3"/>
  <c r="V23" i="3"/>
  <c r="V132" i="3"/>
  <c r="V91" i="3"/>
  <c r="V36" i="3"/>
  <c r="V16" i="3"/>
  <c r="P47" i="3"/>
  <c r="V117" i="3"/>
  <c r="V119" i="3"/>
  <c r="V34" i="3"/>
  <c r="V59" i="3"/>
  <c r="V17" i="3"/>
  <c r="V118" i="3"/>
  <c r="V27" i="3"/>
  <c r="V131" i="3"/>
  <c r="V43" i="3"/>
  <c r="V67" i="3"/>
  <c r="V49" i="3"/>
  <c r="V72" i="3"/>
  <c r="V102" i="3"/>
  <c r="V56" i="3"/>
  <c r="V68" i="3"/>
  <c r="V108" i="3"/>
  <c r="V94" i="3"/>
  <c r="V35" i="3"/>
  <c r="V83" i="3"/>
  <c r="V115" i="3"/>
  <c r="V75" i="3"/>
  <c r="P69" i="3"/>
  <c r="V130" i="3"/>
  <c r="V24" i="3"/>
  <c r="V32" i="3"/>
  <c r="P12" i="3"/>
  <c r="V129" i="3"/>
  <c r="V133" i="3"/>
  <c r="P16" i="3"/>
  <c r="V101" i="3"/>
  <c r="V76" i="3"/>
  <c r="V11" i="3"/>
  <c r="V60" i="3"/>
  <c r="V103" i="3"/>
  <c r="V15" i="3"/>
  <c r="V77" i="3"/>
  <c r="V81" i="3"/>
  <c r="V126" i="3"/>
  <c r="P32" i="3"/>
  <c r="P67" i="3"/>
  <c r="V116" i="3"/>
  <c r="V111" i="3"/>
  <c r="V28" i="3"/>
  <c r="V20" i="3"/>
  <c r="V123" i="3"/>
  <c r="V50" i="3"/>
  <c r="V105" i="3"/>
  <c r="V62" i="3"/>
  <c r="V112" i="3"/>
  <c r="V64" i="3"/>
  <c r="V73" i="3"/>
  <c r="P31" i="3"/>
  <c r="V18" i="3"/>
  <c r="V10" i="3"/>
  <c r="V84" i="3"/>
  <c r="V19" i="3"/>
  <c r="V13" i="3"/>
  <c r="V121" i="3"/>
  <c r="P84" i="3"/>
  <c r="V93" i="3"/>
  <c r="V58" i="3"/>
  <c r="L69" i="3" l="1"/>
  <c r="L89" i="3"/>
  <c r="L67" i="3"/>
  <c r="L70" i="3"/>
  <c r="L68" i="3"/>
  <c r="L56" i="3"/>
  <c r="L32" i="3"/>
  <c r="L34" i="3"/>
  <c r="L122" i="3"/>
  <c r="L93" i="3"/>
  <c r="L84" i="3"/>
  <c r="L16" i="3"/>
  <c r="L96" i="3"/>
  <c r="L43" i="3"/>
  <c r="L57" i="3"/>
  <c r="Q2" i="9"/>
  <c r="L60" i="3"/>
  <c r="L81" i="3"/>
  <c r="L23" i="3"/>
  <c r="L36" i="3"/>
  <c r="L94" i="3"/>
  <c r="L114" i="3"/>
  <c r="L90" i="3"/>
  <c r="L92" i="3"/>
  <c r="L91" i="3"/>
  <c r="L106" i="3"/>
  <c r="L88" i="3"/>
  <c r="L113" i="3"/>
  <c r="W10" i="3"/>
  <c r="W11" i="3"/>
  <c r="L27" i="3"/>
  <c r="E80" i="15"/>
  <c r="L128" i="3"/>
  <c r="L13" i="3"/>
  <c r="L130" i="3"/>
  <c r="L76" i="3"/>
  <c r="L42" i="3"/>
  <c r="L111" i="3"/>
  <c r="L62" i="3"/>
  <c r="L112" i="3"/>
  <c r="E21" i="15"/>
  <c r="E22" i="15"/>
  <c r="E24" i="15"/>
  <c r="L86" i="3"/>
  <c r="L45" i="3"/>
  <c r="L66" i="3"/>
  <c r="L121" i="3"/>
  <c r="L103" i="3"/>
  <c r="L119" i="3"/>
  <c r="L100" i="3"/>
  <c r="L54" i="3"/>
  <c r="L109" i="3"/>
  <c r="L59" i="3"/>
  <c r="L129" i="3"/>
  <c r="L39" i="3"/>
  <c r="L18" i="3"/>
  <c r="L79" i="3"/>
  <c r="L11" i="3"/>
  <c r="L44" i="3"/>
  <c r="L80" i="3"/>
  <c r="L40" i="3"/>
  <c r="L110" i="3"/>
  <c r="L131" i="3"/>
  <c r="L85" i="3"/>
  <c r="L26" i="3"/>
  <c r="L82" i="3"/>
  <c r="L127" i="3"/>
  <c r="L120" i="3"/>
  <c r="L95" i="3"/>
  <c r="L108" i="3"/>
  <c r="L21" i="3"/>
  <c r="L52" i="3"/>
  <c r="L53" i="3"/>
  <c r="L102" i="3"/>
  <c r="L101" i="3"/>
  <c r="E40" i="15"/>
  <c r="E9" i="15"/>
  <c r="L64" i="3"/>
  <c r="L63" i="3"/>
  <c r="L75" i="3"/>
  <c r="L73" i="3"/>
  <c r="L72" i="3"/>
  <c r="R2" i="3"/>
  <c r="L107" i="3"/>
  <c r="L65" i="3"/>
  <c r="L20" i="3"/>
  <c r="L19" i="3"/>
  <c r="L105" i="3"/>
  <c r="L118" i="3"/>
  <c r="L71" i="3"/>
  <c r="L24" i="3"/>
  <c r="L25" i="3"/>
  <c r="L38" i="3"/>
  <c r="L51" i="3"/>
  <c r="L49" i="3"/>
  <c r="L50" i="3"/>
  <c r="L61" i="3"/>
  <c r="G9" i="8"/>
  <c r="L117" i="3"/>
  <c r="L6" i="3"/>
  <c r="L104" i="3"/>
  <c r="L124" i="3"/>
  <c r="L126" i="3"/>
  <c r="L125" i="3"/>
  <c r="L123" i="3"/>
  <c r="L37" i="3"/>
  <c r="L17" i="3"/>
  <c r="L15" i="3"/>
  <c r="L58" i="3"/>
  <c r="L35" i="3"/>
  <c r="L41" i="3"/>
  <c r="L83" i="3"/>
  <c r="L116" i="3"/>
  <c r="L115" i="3"/>
  <c r="L22" i="3"/>
  <c r="L14" i="3"/>
  <c r="L48" i="3"/>
  <c r="L74" i="3"/>
  <c r="L99" i="3"/>
  <c r="L97" i="3"/>
  <c r="L98" i="3"/>
  <c r="L78" i="3"/>
  <c r="L77" i="3"/>
  <c r="J104" i="3"/>
  <c r="T104" i="3" s="1"/>
  <c r="W104" i="3" s="1"/>
  <c r="J44" i="3"/>
  <c r="J105" i="3"/>
  <c r="T105" i="3" s="1"/>
  <c r="W105" i="3" s="1"/>
  <c r="J112" i="3"/>
  <c r="Q112" i="3" s="1"/>
  <c r="R112" i="3" s="1"/>
  <c r="J17" i="3"/>
  <c r="J114" i="3"/>
  <c r="T114" i="3" s="1"/>
  <c r="W114" i="3" s="1"/>
  <c r="J42" i="3"/>
  <c r="J50" i="3"/>
  <c r="T50" i="3" s="1"/>
  <c r="W50" i="3" s="1"/>
  <c r="J111" i="3"/>
  <c r="Q111" i="3" s="1"/>
  <c r="R111" i="3" s="1"/>
  <c r="J99" i="3"/>
  <c r="Q99" i="3" s="1"/>
  <c r="R99" i="3" s="1"/>
  <c r="J52" i="3"/>
  <c r="J101" i="3"/>
  <c r="Q101" i="3" s="1"/>
  <c r="R101" i="3" s="1"/>
  <c r="J13" i="3"/>
  <c r="J88" i="3"/>
  <c r="J40" i="3"/>
  <c r="J77" i="3"/>
  <c r="J74" i="3"/>
  <c r="J59" i="3"/>
  <c r="J103" i="3"/>
  <c r="Q103" i="3" s="1"/>
  <c r="R103" i="3" s="1"/>
  <c r="J106" i="3"/>
  <c r="Q106" i="3" s="1"/>
  <c r="R106" i="3" s="1"/>
  <c r="J118" i="3"/>
  <c r="Q118" i="3" s="1"/>
  <c r="R118" i="3" s="1"/>
  <c r="J38" i="3"/>
  <c r="Q38" i="3" s="1"/>
  <c r="R38" i="3" s="1"/>
  <c r="J35" i="3"/>
  <c r="Q35" i="3" s="1"/>
  <c r="R35" i="3" s="1"/>
  <c r="J10" i="3"/>
  <c r="J19" i="3"/>
  <c r="J45" i="3"/>
  <c r="J43" i="3"/>
  <c r="J53" i="3"/>
  <c r="Y10" i="3"/>
  <c r="I3" i="15" s="1"/>
  <c r="Y133" i="3"/>
  <c r="I126" i="15" s="1"/>
  <c r="Y132" i="3"/>
  <c r="I125" i="15" s="1"/>
  <c r="Y9" i="3"/>
  <c r="I2" i="15" s="1"/>
  <c r="J102" i="3"/>
  <c r="Q102" i="3" s="1"/>
  <c r="R102" i="3" s="1"/>
  <c r="J41" i="3"/>
  <c r="J98" i="3"/>
  <c r="Q98" i="3" s="1"/>
  <c r="R98" i="3" s="1"/>
  <c r="J34" i="3"/>
  <c r="J91" i="3"/>
  <c r="J55" i="3"/>
  <c r="J80" i="3"/>
  <c r="J32" i="3"/>
  <c r="Q32" i="3" s="1"/>
  <c r="R32" i="3" s="1"/>
  <c r="J89" i="3"/>
  <c r="J25" i="3"/>
  <c r="Q25" i="3" s="1"/>
  <c r="R25" i="3" s="1"/>
  <c r="J86" i="3"/>
  <c r="J22" i="3"/>
  <c r="Q22" i="3" s="1"/>
  <c r="R22" i="3" s="1"/>
  <c r="J87" i="3"/>
  <c r="Q87" i="3" s="1"/>
  <c r="R87" i="3" s="1"/>
  <c r="J84" i="3"/>
  <c r="Q84" i="3" s="1"/>
  <c r="R84" i="3" s="1"/>
  <c r="J97" i="3"/>
  <c r="Q97" i="3" s="1"/>
  <c r="R97" i="3" s="1"/>
  <c r="J94" i="3"/>
  <c r="Q94" i="3" s="1"/>
  <c r="R94" i="3" s="1"/>
  <c r="J63" i="3"/>
  <c r="J92" i="3"/>
  <c r="J130" i="3"/>
  <c r="Q130" i="3" s="1"/>
  <c r="R130" i="3" s="1"/>
  <c r="J93" i="3"/>
  <c r="J61" i="3"/>
  <c r="J29" i="3"/>
  <c r="T29" i="3" s="1"/>
  <c r="W29" i="3" s="1"/>
  <c r="J127" i="3"/>
  <c r="Q127" i="3" s="1"/>
  <c r="R127" i="3" s="1"/>
  <c r="J90" i="3"/>
  <c r="J58" i="3"/>
  <c r="J26" i="3"/>
  <c r="Q26" i="3" s="1"/>
  <c r="R26" i="3" s="1"/>
  <c r="J120" i="3"/>
  <c r="T120" i="3" s="1"/>
  <c r="W120" i="3" s="1"/>
  <c r="J75" i="3"/>
  <c r="J39" i="3"/>
  <c r="J117" i="3"/>
  <c r="Q117" i="3" s="1"/>
  <c r="R117" i="3" s="1"/>
  <c r="J64" i="3"/>
  <c r="J12" i="3"/>
  <c r="Q12" i="3" s="1"/>
  <c r="R12" i="3" s="1"/>
  <c r="J83" i="3"/>
  <c r="J96" i="3"/>
  <c r="Q96" i="3" s="1"/>
  <c r="R96" i="3" s="1"/>
  <c r="J73" i="3"/>
  <c r="J15" i="3"/>
  <c r="J70" i="3"/>
  <c r="J9" i="3"/>
  <c r="J71" i="3"/>
  <c r="J116" i="3"/>
  <c r="T116" i="3" s="1"/>
  <c r="W116" i="3" s="1"/>
  <c r="J68" i="3"/>
  <c r="J81" i="3"/>
  <c r="J16" i="3"/>
  <c r="J78" i="3"/>
  <c r="J14" i="3"/>
  <c r="J11" i="3"/>
  <c r="J129" i="3"/>
  <c r="Q129" i="3" s="1"/>
  <c r="R129" i="3" s="1"/>
  <c r="J115" i="3"/>
  <c r="T115" i="3" s="1"/>
  <c r="W115" i="3" s="1"/>
  <c r="J37" i="3"/>
  <c r="J31" i="3"/>
  <c r="Q31" i="3" s="1"/>
  <c r="R31" i="3" s="1"/>
  <c r="J28" i="3"/>
  <c r="Q28" i="3" s="1"/>
  <c r="R28" i="3" s="1"/>
  <c r="J133" i="3"/>
  <c r="T133" i="3" s="1"/>
  <c r="W133" i="3" s="1"/>
  <c r="J69" i="3"/>
  <c r="Q69" i="3" s="1"/>
  <c r="R69" i="3" s="1"/>
  <c r="J113" i="3"/>
  <c r="Q113" i="3" s="1"/>
  <c r="R113" i="3" s="1"/>
  <c r="J66" i="3"/>
  <c r="J128" i="3"/>
  <c r="T128" i="3" s="1"/>
  <c r="W128" i="3" s="1"/>
  <c r="J107" i="3"/>
  <c r="Q107" i="3" s="1"/>
  <c r="R107" i="3" s="1"/>
  <c r="J125" i="3"/>
  <c r="T125" i="3" s="1"/>
  <c r="W125" i="3" s="1"/>
  <c r="J24" i="3"/>
  <c r="Q24" i="3" s="1"/>
  <c r="R24" i="3" s="1"/>
  <c r="J23" i="3"/>
  <c r="Q23" i="3" s="1"/>
  <c r="R23" i="3" s="1"/>
  <c r="J20" i="3"/>
  <c r="J33" i="3"/>
  <c r="J30" i="3"/>
  <c r="T30" i="3" s="1"/>
  <c r="W30" i="3" s="1"/>
  <c r="J79" i="3"/>
  <c r="J110" i="3"/>
  <c r="Q110" i="3" s="1"/>
  <c r="R110" i="3" s="1"/>
  <c r="J122" i="3"/>
  <c r="Q122" i="3" s="1"/>
  <c r="R122" i="3" s="1"/>
  <c r="J85" i="3"/>
  <c r="J46" i="3"/>
  <c r="J21" i="3"/>
  <c r="J119" i="3"/>
  <c r="Q119" i="3" s="1"/>
  <c r="R119" i="3" s="1"/>
  <c r="J82" i="3"/>
  <c r="J54" i="3"/>
  <c r="Q54" i="3" s="1"/>
  <c r="R54" i="3" s="1"/>
  <c r="J18" i="3"/>
  <c r="J108" i="3"/>
  <c r="Q108" i="3" s="1"/>
  <c r="R108" i="3" s="1"/>
  <c r="J67" i="3"/>
  <c r="Q67" i="3" s="1"/>
  <c r="R67" i="3" s="1"/>
  <c r="J27" i="3"/>
  <c r="Q27" i="3" s="1"/>
  <c r="R27" i="3" s="1"/>
  <c r="J100" i="3"/>
  <c r="T100" i="3" s="1"/>
  <c r="W100" i="3" s="1"/>
  <c r="J49" i="3"/>
  <c r="J36" i="3"/>
  <c r="J72" i="3"/>
  <c r="J126" i="3"/>
  <c r="T126" i="3" s="1"/>
  <c r="W126" i="3" s="1"/>
  <c r="J56" i="3"/>
  <c r="Q56" i="3" s="1"/>
  <c r="R56" i="3" s="1"/>
  <c r="J123" i="3"/>
  <c r="T123" i="3" s="1"/>
  <c r="W123" i="3" s="1"/>
  <c r="J47" i="3"/>
  <c r="J124" i="3"/>
  <c r="Q124" i="3" s="1"/>
  <c r="R124" i="3" s="1"/>
  <c r="J48" i="3"/>
  <c r="J121" i="3"/>
  <c r="T121" i="3" s="1"/>
  <c r="W121" i="3" s="1"/>
  <c r="J57" i="3"/>
  <c r="J109" i="3"/>
  <c r="Q109" i="3" s="1"/>
  <c r="R109" i="3" s="1"/>
  <c r="J65" i="3"/>
  <c r="J131" i="3"/>
  <c r="Q131" i="3" s="1"/>
  <c r="R131" i="3" s="1"/>
  <c r="J62" i="3"/>
  <c r="J76" i="3"/>
  <c r="J60" i="3"/>
  <c r="J51" i="3"/>
  <c r="Q51" i="3" s="1"/>
  <c r="R51" i="3" s="1"/>
  <c r="J95" i="3"/>
  <c r="T95" i="3" s="1"/>
  <c r="W95" i="3" s="1"/>
  <c r="E49" i="15"/>
  <c r="E86" i="15"/>
  <c r="E62" i="15"/>
  <c r="E5" i="15"/>
  <c r="E60" i="15"/>
  <c r="E25" i="15"/>
  <c r="E77" i="15"/>
  <c r="T132" i="3"/>
  <c r="W132" i="3" s="1"/>
  <c r="Q132" i="3"/>
  <c r="R132" i="3" s="1"/>
  <c r="S16" i="3"/>
  <c r="P92" i="3"/>
  <c r="P19" i="3"/>
  <c r="S32" i="3"/>
  <c r="P55" i="3"/>
  <c r="P82" i="3"/>
  <c r="P120" i="3"/>
  <c r="P125" i="3"/>
  <c r="P40" i="3"/>
  <c r="S31" i="3"/>
  <c r="P52" i="3"/>
  <c r="P27" i="3"/>
  <c r="P25" i="3"/>
  <c r="P83" i="3"/>
  <c r="P51" i="3"/>
  <c r="P13" i="3"/>
  <c r="P102" i="3"/>
  <c r="P101" i="3"/>
  <c r="P107" i="3"/>
  <c r="P86" i="3"/>
  <c r="P111" i="3"/>
  <c r="P30" i="3"/>
  <c r="P23" i="3"/>
  <c r="P65" i="3"/>
  <c r="P118" i="3"/>
  <c r="P113" i="3"/>
  <c r="P68" i="3"/>
  <c r="P130" i="3"/>
  <c r="P98" i="3"/>
  <c r="P42" i="3"/>
  <c r="P89" i="3"/>
  <c r="P61" i="3"/>
  <c r="S29" i="3"/>
  <c r="P44" i="3"/>
  <c r="P22" i="3"/>
  <c r="P90" i="3"/>
  <c r="P59" i="3"/>
  <c r="S12" i="3"/>
  <c r="S47" i="3"/>
  <c r="P97" i="3"/>
  <c r="P105" i="3"/>
  <c r="P77" i="3"/>
  <c r="P53" i="3"/>
  <c r="P70" i="3"/>
  <c r="P46" i="3"/>
  <c r="P78" i="3"/>
  <c r="S67" i="3"/>
  <c r="S105" i="3"/>
  <c r="P49" i="3"/>
  <c r="P103" i="3"/>
  <c r="S93" i="3"/>
  <c r="P36" i="3"/>
  <c r="P64" i="3"/>
  <c r="P38" i="3"/>
  <c r="P21" i="3"/>
  <c r="S56" i="3"/>
  <c r="P121" i="3"/>
  <c r="P94" i="3"/>
  <c r="S87" i="3"/>
  <c r="P63" i="3"/>
  <c r="P123" i="3"/>
  <c r="P109" i="3"/>
  <c r="P95" i="3"/>
  <c r="P73" i="3"/>
  <c r="P18" i="3"/>
  <c r="P108" i="3"/>
  <c r="P110" i="3"/>
  <c r="P80" i="3"/>
  <c r="P128" i="3"/>
  <c r="S128" i="3" s="1"/>
  <c r="P104" i="3"/>
  <c r="P91" i="3"/>
  <c r="P88" i="3"/>
  <c r="S84" i="3"/>
  <c r="P17" i="3"/>
  <c r="P99" i="3"/>
  <c r="S99" i="3" s="1"/>
  <c r="P96" i="3"/>
  <c r="P74" i="3"/>
  <c r="P60" i="3"/>
  <c r="P126" i="3"/>
  <c r="P37" i="3"/>
  <c r="P76" i="3"/>
  <c r="P39" i="3"/>
  <c r="P129" i="3"/>
  <c r="P57" i="3"/>
  <c r="P66" i="3"/>
  <c r="P122" i="3"/>
  <c r="P33" i="3"/>
  <c r="P79" i="3"/>
  <c r="P117" i="3"/>
  <c r="P85" i="3"/>
  <c r="P43" i="3"/>
  <c r="P35" i="3"/>
  <c r="S104" i="3"/>
  <c r="P81" i="3"/>
  <c r="P62" i="3"/>
  <c r="P131" i="3"/>
  <c r="P50" i="3"/>
  <c r="P15" i="3"/>
  <c r="P20" i="3"/>
  <c r="P72" i="3"/>
  <c r="P34" i="3"/>
  <c r="P106" i="3"/>
  <c r="P75" i="3"/>
  <c r="S28" i="3"/>
  <c r="P119" i="3"/>
  <c r="S50" i="3"/>
  <c r="P54" i="3"/>
  <c r="P41" i="3"/>
  <c r="P14" i="3"/>
  <c r="P112" i="3"/>
  <c r="P127" i="3"/>
  <c r="S69" i="3"/>
  <c r="P24" i="3"/>
  <c r="P124" i="3"/>
  <c r="P115" i="3"/>
  <c r="P71" i="3"/>
  <c r="P100" i="3"/>
  <c r="P45" i="3"/>
  <c r="P116" i="3"/>
  <c r="P48" i="3"/>
  <c r="P11" i="3"/>
  <c r="P26" i="3"/>
  <c r="P58" i="3"/>
  <c r="P114" i="3"/>
  <c r="Q18" i="3" l="1"/>
  <c r="R18" i="3" s="1"/>
  <c r="T16" i="3"/>
  <c r="W16" i="3" s="1"/>
  <c r="Q21" i="3"/>
  <c r="R21" i="3" s="1"/>
  <c r="Q13" i="3"/>
  <c r="R13" i="3" s="1"/>
  <c r="Q19" i="3"/>
  <c r="R19" i="3" s="1"/>
  <c r="F77" i="15"/>
  <c r="F22" i="15"/>
  <c r="F9" i="15"/>
  <c r="T48" i="3"/>
  <c r="W48" i="3" s="1"/>
  <c r="T47" i="3"/>
  <c r="W47" i="3" s="1"/>
  <c r="Q45" i="3"/>
  <c r="R45" i="3" s="1"/>
  <c r="F40" i="15"/>
  <c r="Q90" i="3"/>
  <c r="R90" i="3" s="1"/>
  <c r="T93" i="3"/>
  <c r="W93" i="3" s="1"/>
  <c r="Q92" i="3"/>
  <c r="R92" i="3" s="1"/>
  <c r="Q88" i="3"/>
  <c r="R88" i="3" s="1"/>
  <c r="Q89" i="3"/>
  <c r="R89" i="3" s="1"/>
  <c r="Q91" i="3"/>
  <c r="R91" i="3" s="1"/>
  <c r="F21" i="15"/>
  <c r="E107" i="15"/>
  <c r="E84" i="15"/>
  <c r="E123" i="15"/>
  <c r="E121" i="15"/>
  <c r="E6" i="15"/>
  <c r="Q85" i="3"/>
  <c r="R85" i="3" s="1"/>
  <c r="Q86" i="3"/>
  <c r="R86" i="3" s="1"/>
  <c r="E35" i="15"/>
  <c r="E105" i="15"/>
  <c r="E69" i="15"/>
  <c r="Q76" i="3"/>
  <c r="R76" i="3" s="1"/>
  <c r="E38" i="15"/>
  <c r="E113" i="15"/>
  <c r="E4" i="15"/>
  <c r="E93" i="15"/>
  <c r="E88" i="15"/>
  <c r="E19" i="15"/>
  <c r="E72" i="15"/>
  <c r="E52" i="15"/>
  <c r="E94" i="15"/>
  <c r="E47" i="15"/>
  <c r="E114" i="15"/>
  <c r="Q59" i="3"/>
  <c r="R59" i="3" s="1"/>
  <c r="Q79" i="3"/>
  <c r="R79" i="3" s="1"/>
  <c r="F43" i="15"/>
  <c r="F97" i="15"/>
  <c r="E76" i="15"/>
  <c r="E43" i="15"/>
  <c r="E98" i="15"/>
  <c r="E100" i="15"/>
  <c r="E92" i="15"/>
  <c r="E15" i="15"/>
  <c r="E119" i="15"/>
  <c r="E110" i="15"/>
  <c r="E56" i="15"/>
  <c r="E67" i="15"/>
  <c r="E108" i="15"/>
  <c r="E28" i="15"/>
  <c r="E44" i="15"/>
  <c r="E64" i="15"/>
  <c r="E13" i="15"/>
  <c r="E65" i="15"/>
  <c r="E41" i="15"/>
  <c r="E109" i="15"/>
  <c r="E51" i="15"/>
  <c r="E116" i="15"/>
  <c r="E97" i="15"/>
  <c r="E31" i="15"/>
  <c r="Q83" i="3"/>
  <c r="R83" i="3" s="1"/>
  <c r="Q58" i="3"/>
  <c r="R58" i="3" s="1"/>
  <c r="Q63" i="3"/>
  <c r="R63" i="3" s="1"/>
  <c r="Q74" i="3"/>
  <c r="R74" i="3" s="1"/>
  <c r="Q72" i="3"/>
  <c r="R72" i="3" s="1"/>
  <c r="Q123" i="3"/>
  <c r="R123" i="3" s="1"/>
  <c r="T117" i="3"/>
  <c r="W117" i="3" s="1"/>
  <c r="Q42" i="3"/>
  <c r="R42" i="3" s="1"/>
  <c r="T56" i="3"/>
  <c r="W56" i="3" s="1"/>
  <c r="Q29" i="3"/>
  <c r="R29" i="3" s="1"/>
  <c r="Q105" i="3"/>
  <c r="R105" i="3" s="1"/>
  <c r="Q16" i="3"/>
  <c r="R16" i="3" s="1"/>
  <c r="T51" i="3"/>
  <c r="W51" i="3" s="1"/>
  <c r="Q114" i="3"/>
  <c r="R114" i="3" s="1"/>
  <c r="T99" i="3"/>
  <c r="W99" i="3" s="1"/>
  <c r="Q48" i="3"/>
  <c r="R48" i="3" s="1"/>
  <c r="Q125" i="3"/>
  <c r="R125" i="3" s="1"/>
  <c r="T26" i="3"/>
  <c r="W26" i="3" s="1"/>
  <c r="T97" i="3"/>
  <c r="W97" i="3" s="1"/>
  <c r="T112" i="3"/>
  <c r="W112" i="3" s="1"/>
  <c r="Q120" i="3"/>
  <c r="R120" i="3" s="1"/>
  <c r="Q95" i="3"/>
  <c r="R95" i="3" s="1"/>
  <c r="T130" i="3"/>
  <c r="W130" i="3" s="1"/>
  <c r="Q71" i="3"/>
  <c r="R71" i="3" s="1"/>
  <c r="T28" i="3"/>
  <c r="W28" i="3" s="1"/>
  <c r="Q50" i="3"/>
  <c r="R50" i="3" s="1"/>
  <c r="Q128" i="3"/>
  <c r="R128" i="3" s="1"/>
  <c r="T118" i="3"/>
  <c r="W118" i="3" s="1"/>
  <c r="Q17" i="3"/>
  <c r="R17" i="3" s="1"/>
  <c r="Q104" i="3"/>
  <c r="R104" i="3" s="1"/>
  <c r="Q47" i="3"/>
  <c r="R47" i="3" s="1"/>
  <c r="T87" i="3"/>
  <c r="W87" i="3" s="1"/>
  <c r="T101" i="3"/>
  <c r="W101" i="3" s="1"/>
  <c r="Q20" i="3"/>
  <c r="R20" i="3" s="1"/>
  <c r="Q126" i="3"/>
  <c r="R126" i="3" s="1"/>
  <c r="Q30" i="3"/>
  <c r="R30" i="3" s="1"/>
  <c r="T107" i="3"/>
  <c r="W107" i="3" s="1"/>
  <c r="Q121" i="3"/>
  <c r="R121" i="3" s="1"/>
  <c r="Q133" i="3"/>
  <c r="R133" i="3" s="1"/>
  <c r="Q115" i="3"/>
  <c r="R115" i="3" s="1"/>
  <c r="T27" i="3"/>
  <c r="W27" i="3" s="1"/>
  <c r="Q93" i="3"/>
  <c r="R93" i="3" s="1"/>
  <c r="T94" i="3"/>
  <c r="W94" i="3" s="1"/>
  <c r="T54" i="3"/>
  <c r="W54" i="3" s="1"/>
  <c r="T22" i="3"/>
  <c r="W22" i="3" s="1"/>
  <c r="T91" i="3"/>
  <c r="W91" i="3" s="1"/>
  <c r="Q116" i="3"/>
  <c r="R116" i="3" s="1"/>
  <c r="Q100" i="3"/>
  <c r="R100" i="3" s="1"/>
  <c r="T12" i="3"/>
  <c r="W12" i="3" s="1"/>
  <c r="F121" i="15"/>
  <c r="F5" i="15"/>
  <c r="T35" i="3"/>
  <c r="W35" i="3" s="1"/>
  <c r="T32" i="3"/>
  <c r="W32" i="3" s="1"/>
  <c r="T34" i="3"/>
  <c r="W34" i="3" s="1"/>
  <c r="T31" i="3"/>
  <c r="W31" i="3" s="1"/>
  <c r="T40" i="3"/>
  <c r="W40"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E91" i="15"/>
  <c r="Q57" i="3"/>
  <c r="R57" i="3" s="1"/>
  <c r="E50" i="15"/>
  <c r="E45" i="15"/>
  <c r="E42" i="15"/>
  <c r="E95" i="15"/>
  <c r="E90" i="15"/>
  <c r="E27" i="15"/>
  <c r="E32" i="15"/>
  <c r="E46" i="15"/>
  <c r="E103" i="15"/>
  <c r="E26" i="15"/>
  <c r="E81" i="15"/>
  <c r="E101" i="15"/>
  <c r="E34" i="15"/>
  <c r="E85" i="15"/>
  <c r="E120" i="15"/>
  <c r="E79" i="15"/>
  <c r="F92" i="15"/>
  <c r="F25"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T74" i="3"/>
  <c r="W74" i="3" s="1"/>
  <c r="E106" i="15"/>
  <c r="E36" i="15"/>
  <c r="E124" i="15"/>
  <c r="E78" i="15"/>
  <c r="E18" i="15"/>
  <c r="E20" i="15"/>
  <c r="E96" i="15"/>
  <c r="E23" i="15"/>
  <c r="E48" i="15"/>
  <c r="E68" i="15"/>
  <c r="Q75" i="3"/>
  <c r="R75" i="3" s="1"/>
  <c r="E102" i="15"/>
  <c r="Q60" i="3"/>
  <c r="R60" i="3" s="1"/>
  <c r="E53" i="15"/>
  <c r="E17" i="15"/>
  <c r="E14" i="15"/>
  <c r="Q77" i="3"/>
  <c r="R77" i="3" s="1"/>
  <c r="E70" i="15"/>
  <c r="E11" i="15"/>
  <c r="F24" i="15"/>
  <c r="T69" i="3"/>
  <c r="W69" i="3" s="1"/>
  <c r="F62" i="15"/>
  <c r="F98"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T67" i="3"/>
  <c r="W67" i="3" s="1"/>
  <c r="F60" i="15"/>
  <c r="T127" i="3"/>
  <c r="W127" i="3" s="1"/>
  <c r="T106" i="3"/>
  <c r="W106" i="3" s="1"/>
  <c r="T108" i="3"/>
  <c r="W108" i="3" s="1"/>
  <c r="T119" i="3"/>
  <c r="W119" i="3" s="1"/>
  <c r="Q15" i="3"/>
  <c r="R15" i="3" s="1"/>
  <c r="Q14" i="3"/>
  <c r="R14" i="3" s="1"/>
  <c r="T24" i="3"/>
  <c r="W24" i="3" s="1"/>
  <c r="T23" i="3"/>
  <c r="W23" i="3" s="1"/>
  <c r="T25" i="3"/>
  <c r="W25" i="3" s="1"/>
  <c r="T129" i="3"/>
  <c r="W129" i="3" s="1"/>
  <c r="T131" i="3"/>
  <c r="W131" i="3" s="1"/>
  <c r="T109" i="3"/>
  <c r="W109" i="3" s="1"/>
  <c r="T110" i="3"/>
  <c r="W110" i="3" s="1"/>
  <c r="T111" i="3"/>
  <c r="W111" i="3" s="1"/>
  <c r="T113" i="3"/>
  <c r="W113" i="3" s="1"/>
  <c r="T103" i="3"/>
  <c r="W103" i="3" s="1"/>
  <c r="T102" i="3"/>
  <c r="W102" i="3" s="1"/>
  <c r="T98" i="3"/>
  <c r="W98" i="3" s="1"/>
  <c r="T84" i="3"/>
  <c r="W84" i="3" s="1"/>
  <c r="T122" i="3"/>
  <c r="W122" i="3" s="1"/>
  <c r="T124" i="3"/>
  <c r="W124" i="3" s="1"/>
  <c r="T96" i="3"/>
  <c r="W96" i="3" s="1"/>
  <c r="T53" i="3"/>
  <c r="W53" i="3" s="1"/>
  <c r="E8" i="15"/>
  <c r="E7" i="15"/>
  <c r="T33" i="3"/>
  <c r="W33" i="3" s="1"/>
  <c r="T39" i="3"/>
  <c r="W39" i="3" s="1"/>
  <c r="T41" i="3"/>
  <c r="W41" i="3" s="1"/>
  <c r="S123" i="3"/>
  <c r="S35" i="3"/>
  <c r="S70" i="3"/>
  <c r="S39" i="3"/>
  <c r="S116" i="3"/>
  <c r="S103" i="3"/>
  <c r="S73" i="3"/>
  <c r="S130" i="3"/>
  <c r="S124" i="3"/>
  <c r="S129" i="3"/>
  <c r="S57" i="3"/>
  <c r="S92" i="3"/>
  <c r="S109" i="3"/>
  <c r="S95" i="3"/>
  <c r="S65" i="3"/>
  <c r="S115" i="3"/>
  <c r="S81" i="3"/>
  <c r="S60" i="3"/>
  <c r="S96" i="3"/>
  <c r="S18" i="3"/>
  <c r="S38" i="3"/>
  <c r="S112" i="3"/>
  <c r="S97" i="3"/>
  <c r="S89" i="3"/>
  <c r="S20" i="3"/>
  <c r="S85" i="3"/>
  <c r="S13" i="3"/>
  <c r="S100" i="3"/>
  <c r="S110" i="3"/>
  <c r="S14" i="3"/>
  <c r="S111" i="3"/>
  <c r="S80" i="3"/>
  <c r="C25" i="14"/>
  <c r="S101" i="3"/>
  <c r="S21" i="3"/>
  <c r="S83" i="3"/>
  <c r="S78" i="3"/>
  <c r="S82" i="3"/>
  <c r="S98" i="3"/>
  <c r="S51" i="3"/>
  <c r="S121" i="3"/>
  <c r="S113" i="3"/>
  <c r="S66" i="3"/>
  <c r="S126" i="3"/>
  <c r="S52" i="3"/>
  <c r="S40" i="3"/>
  <c r="S22" i="3"/>
  <c r="S23" i="3"/>
  <c r="S68" i="3"/>
  <c r="S86" i="3"/>
  <c r="S26" i="3"/>
  <c r="S48" i="3"/>
  <c r="S117" i="3"/>
  <c r="S108" i="3"/>
  <c r="S131" i="3"/>
  <c r="S19" i="3"/>
  <c r="S11" i="3"/>
  <c r="S102" i="3"/>
  <c r="S72" i="3"/>
  <c r="S77" i="3"/>
  <c r="S118" i="3"/>
  <c r="S54" i="3"/>
  <c r="S59" i="3"/>
  <c r="S53" i="3"/>
  <c r="S91" i="3"/>
  <c r="S94" i="3"/>
  <c r="S55" i="3"/>
  <c r="S63" i="3"/>
  <c r="S37" i="3"/>
  <c r="S46" i="3"/>
  <c r="S58" i="3"/>
  <c r="S15" i="3"/>
  <c r="S30" i="3"/>
  <c r="S114" i="3"/>
  <c r="S125" i="3"/>
  <c r="S62" i="3"/>
  <c r="S106" i="3"/>
  <c r="S120" i="3"/>
  <c r="S76" i="3"/>
  <c r="S90" i="3"/>
  <c r="S127" i="3"/>
  <c r="S71" i="3"/>
  <c r="S122" i="3"/>
  <c r="S36" i="3"/>
  <c r="S42" i="3"/>
  <c r="S64" i="3"/>
  <c r="S119" i="3"/>
  <c r="S79" i="3"/>
  <c r="S34" i="3"/>
  <c r="S33" i="3"/>
  <c r="S74" i="3"/>
  <c r="S44" i="3"/>
  <c r="S25" i="3"/>
  <c r="S41" i="3"/>
  <c r="S27" i="3"/>
  <c r="S75" i="3"/>
  <c r="S45" i="3"/>
  <c r="S24" i="3"/>
  <c r="S43" i="3"/>
  <c r="S49" i="3"/>
  <c r="S88" i="3"/>
  <c r="S17" i="3"/>
  <c r="S107" i="3"/>
  <c r="S61" i="3"/>
  <c r="T13" i="3" l="1"/>
  <c r="W13" i="3" s="1"/>
  <c r="F6" i="15"/>
  <c r="F19" i="15"/>
  <c r="T17" i="3"/>
  <c r="W17" i="3" s="1"/>
  <c r="T18" i="3"/>
  <c r="W18" i="3" s="1"/>
  <c r="T21" i="3"/>
  <c r="W21" i="3" s="1"/>
  <c r="T20" i="3"/>
  <c r="W20" i="3" s="1"/>
  <c r="T19" i="3"/>
  <c r="W19" i="3" s="1"/>
  <c r="F44" i="15"/>
  <c r="F113" i="15"/>
  <c r="F116" i="15"/>
  <c r="F51" i="15"/>
  <c r="F123" i="15"/>
  <c r="F38" i="15"/>
  <c r="F94" i="15"/>
  <c r="F84" i="15"/>
  <c r="F28" i="15"/>
  <c r="F67" i="15"/>
  <c r="F93" i="15"/>
  <c r="F88" i="15"/>
  <c r="F41" i="15"/>
  <c r="T49" i="3"/>
  <c r="W49" i="3" s="1"/>
  <c r="T46" i="3"/>
  <c r="W46" i="3" s="1"/>
  <c r="T44" i="3"/>
  <c r="W44" i="3" s="1"/>
  <c r="T42" i="3"/>
  <c r="W42" i="3" s="1"/>
  <c r="T59" i="3"/>
  <c r="W59" i="3" s="1"/>
  <c r="T63" i="3"/>
  <c r="W63" i="3" s="1"/>
  <c r="T55" i="3"/>
  <c r="W55" i="3" s="1"/>
  <c r="F72" i="15"/>
  <c r="T79" i="3"/>
  <c r="W79" i="3" s="1"/>
  <c r="F56" i="15"/>
  <c r="F107" i="15"/>
  <c r="F109" i="15"/>
  <c r="F114" i="15"/>
  <c r="F15" i="15"/>
  <c r="F69" i="15"/>
  <c r="T76" i="3"/>
  <c r="W76" i="3" s="1"/>
  <c r="F35" i="15"/>
  <c r="T90" i="3"/>
  <c r="W90" i="3" s="1"/>
  <c r="T92" i="3"/>
  <c r="W92" i="3" s="1"/>
  <c r="T88" i="3"/>
  <c r="W88" i="3" s="1"/>
  <c r="T89" i="3"/>
  <c r="W89" i="3" s="1"/>
  <c r="T83" i="3"/>
  <c r="W83" i="3" s="1"/>
  <c r="T72" i="3"/>
  <c r="W72" i="3" s="1"/>
  <c r="T71" i="3"/>
  <c r="W71" i="3" s="1"/>
  <c r="F13" i="15"/>
  <c r="F76" i="15"/>
  <c r="F4" i="15"/>
  <c r="F108" i="15"/>
  <c r="F52" i="15"/>
  <c r="F105" i="15"/>
  <c r="F47" i="15"/>
  <c r="F31" i="15"/>
  <c r="F119" i="15"/>
  <c r="F110" i="15"/>
  <c r="F100" i="15"/>
  <c r="F65" i="15"/>
  <c r="F64" i="15"/>
  <c r="T85" i="3"/>
  <c r="W85" i="3" s="1"/>
  <c r="T86" i="3"/>
  <c r="W86" i="3" s="1"/>
  <c r="F54" i="15"/>
  <c r="T61" i="3"/>
  <c r="W61" i="3" s="1"/>
  <c r="F16" i="15"/>
  <c r="F42" i="15"/>
  <c r="F17" i="15"/>
  <c r="F101" i="15"/>
  <c r="F96" i="15"/>
  <c r="F55" i="15"/>
  <c r="T62" i="3"/>
  <c r="W62" i="3" s="1"/>
  <c r="F58" i="15"/>
  <c r="T65" i="3"/>
  <c r="W65" i="3" s="1"/>
  <c r="F33" i="15"/>
  <c r="F112" i="15"/>
  <c r="F120" i="15"/>
  <c r="F11" i="15"/>
  <c r="F68" i="15"/>
  <c r="T75" i="3"/>
  <c r="W75" i="3" s="1"/>
  <c r="F32" i="15"/>
  <c r="F75" i="15"/>
  <c r="T82" i="3"/>
  <c r="W82" i="3" s="1"/>
  <c r="F90" i="15"/>
  <c r="F34" i="15"/>
  <c r="F79" i="15"/>
  <c r="F85" i="15"/>
  <c r="F48" i="15"/>
  <c r="F103" i="15"/>
  <c r="T81" i="3"/>
  <c r="W81" i="3" s="1"/>
  <c r="F74" i="15"/>
  <c r="T77" i="3"/>
  <c r="W77" i="3" s="1"/>
  <c r="F70" i="15"/>
  <c r="F117" i="15"/>
  <c r="F12" i="15"/>
  <c r="F14" i="15"/>
  <c r="F87" i="15"/>
  <c r="F37" i="15"/>
  <c r="F39" i="15"/>
  <c r="F18" i="15"/>
  <c r="F95" i="15"/>
  <c r="F26" i="15"/>
  <c r="F104" i="15"/>
  <c r="F27" i="15"/>
  <c r="F46" i="15"/>
  <c r="F115" i="15"/>
  <c r="T64" i="3"/>
  <c r="W64" i="3" s="1"/>
  <c r="F57" i="15"/>
  <c r="F82" i="15"/>
  <c r="T66" i="3"/>
  <c r="W66" i="3" s="1"/>
  <c r="F59" i="15"/>
  <c r="F10" i="15"/>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Z6" i="3" l="1"/>
  <c r="T6" i="3"/>
  <c r="R6" i="3"/>
  <c r="U6" i="3"/>
  <c r="H4" i="13"/>
  <c r="AA6" i="3"/>
  <c r="S6" i="3" l="1"/>
  <c r="A8" i="19"/>
  <c r="J2" i="9"/>
  <c r="D8" i="17"/>
  <c r="A9" i="8"/>
  <c r="K2" i="3"/>
  <c r="M1" i="3" s="1"/>
  <c r="A10" i="8" s="1"/>
  <c r="V6" i="3"/>
  <c r="N6" i="3" s="1"/>
  <c r="X9" i="3" l="1"/>
  <c r="H2" i="15" s="1"/>
  <c r="X10" i="3"/>
  <c r="H3" i="15" s="1"/>
  <c r="U10" i="3"/>
  <c r="D8" i="19"/>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D14" i="17"/>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K2" i="9"/>
  <c r="D9" i="8"/>
  <c r="O55" i="3"/>
  <c r="O28" i="3"/>
  <c r="O56" i="3"/>
  <c r="O66" i="3"/>
  <c r="O133" i="3"/>
  <c r="O53" i="3"/>
  <c r="X6" i="3"/>
  <c r="O107" i="3"/>
  <c r="O76" i="3"/>
  <c r="O58" i="3"/>
  <c r="O75" i="3"/>
  <c r="O42" i="3"/>
  <c r="O60" i="3"/>
  <c r="W6" i="3"/>
  <c r="O6" i="3"/>
  <c r="O29" i="3"/>
  <c r="O116" i="3"/>
  <c r="O122" i="3"/>
  <c r="O38" i="3"/>
  <c r="O104" i="3"/>
  <c r="O33" i="3"/>
  <c r="O59" i="3"/>
  <c r="O13" i="3"/>
  <c r="Y13" i="3" s="1"/>
  <c r="O62" i="3"/>
  <c r="O117" i="3"/>
  <c r="Y6" i="3"/>
  <c r="O95" i="3"/>
  <c r="O97" i="3"/>
  <c r="O105" i="3"/>
  <c r="O20" i="3"/>
  <c r="O18" i="3"/>
  <c r="O70" i="3"/>
  <c r="O115" i="3"/>
  <c r="O110" i="3"/>
  <c r="O44" i="3"/>
  <c r="O31" i="3"/>
  <c r="O103" i="3"/>
  <c r="O81" i="3"/>
  <c r="O129" i="3"/>
  <c r="O100" i="3"/>
  <c r="O35" i="3"/>
  <c r="O25" i="3"/>
  <c r="O84" i="3"/>
  <c r="O24" i="3"/>
  <c r="O111" i="3"/>
  <c r="O57" i="3"/>
  <c r="P2" i="9"/>
  <c r="I9" i="8"/>
  <c r="O32" i="3"/>
  <c r="O63" i="3"/>
  <c r="O92" i="3"/>
  <c r="O123" i="3"/>
  <c r="O10" i="3"/>
  <c r="G3" i="15" s="1"/>
  <c r="O89" i="3"/>
  <c r="O43" i="3"/>
  <c r="O78" i="3"/>
  <c r="O109" i="3"/>
  <c r="O23" i="3"/>
  <c r="O113" i="3"/>
  <c r="O77" i="3"/>
  <c r="O47" i="3"/>
  <c r="O112" i="3"/>
  <c r="O93" i="3"/>
  <c r="O9" i="3"/>
  <c r="G2" i="15" s="1"/>
  <c r="O67" i="3"/>
  <c r="O96" i="3"/>
  <c r="O127" i="3"/>
  <c r="O11" i="3"/>
  <c r="Z11" i="3" s="1"/>
  <c r="O52" i="3"/>
  <c r="O108" i="3"/>
  <c r="O48" i="3"/>
  <c r="O49" i="3"/>
  <c r="O132" i="3"/>
  <c r="O36" i="3"/>
  <c r="O71" i="3"/>
  <c r="O101" i="3"/>
  <c r="O131" i="3"/>
  <c r="O41" i="3"/>
  <c r="O106" i="3"/>
  <c r="O54" i="3"/>
  <c r="O83" i="3"/>
  <c r="O114" i="3"/>
  <c r="O99" i="3"/>
  <c r="O37" i="3"/>
  <c r="O65" i="3"/>
  <c r="O125" i="3"/>
  <c r="O15" i="3"/>
  <c r="O19" i="3"/>
  <c r="O124" i="3"/>
  <c r="O73" i="3"/>
  <c r="O27" i="3"/>
  <c r="O126" i="3"/>
  <c r="O87" i="3"/>
  <c r="O39" i="3"/>
  <c r="O21" i="3"/>
  <c r="O88" i="3"/>
  <c r="O50" i="3"/>
  <c r="O64" i="3"/>
  <c r="O94" i="3"/>
  <c r="O118" i="3"/>
  <c r="O74" i="3"/>
  <c r="O128" i="3"/>
  <c r="O68" i="3"/>
  <c r="O119" i="3"/>
  <c r="O51" i="3"/>
  <c r="O40" i="3"/>
  <c r="O14" i="3"/>
  <c r="O45" i="3"/>
  <c r="O91" i="3"/>
  <c r="O120" i="3"/>
  <c r="O17" i="3"/>
  <c r="O79" i="3"/>
  <c r="O16" i="3"/>
  <c r="O80" i="3"/>
  <c r="O12" i="3"/>
  <c r="O102" i="3"/>
  <c r="O121" i="3"/>
  <c r="O90" i="3"/>
  <c r="O30" i="3"/>
  <c r="O82" i="3"/>
  <c r="O22" i="3"/>
  <c r="O72" i="3"/>
  <c r="O69" i="3"/>
  <c r="O34" i="3"/>
  <c r="O130" i="3"/>
  <c r="O46" i="3"/>
  <c r="O85" i="3"/>
  <c r="O86" i="3"/>
  <c r="O26" i="3"/>
  <c r="O61" i="3"/>
  <c r="O98" i="3"/>
  <c r="Z15" i="3"/>
  <c r="Z13" i="3"/>
  <c r="Z14" i="3"/>
  <c r="X13" i="3"/>
  <c r="X18" i="3"/>
  <c r="X35" i="3"/>
  <c r="X106" i="3"/>
  <c r="X122" i="3"/>
  <c r="X56" i="3"/>
  <c r="X39" i="3"/>
  <c r="X46" i="3"/>
  <c r="X101" i="3"/>
  <c r="X43" i="3"/>
  <c r="X118" i="3"/>
  <c r="X133" i="3"/>
  <c r="X32" i="3"/>
  <c r="X42" i="3"/>
  <c r="X98" i="3"/>
  <c r="X115" i="3"/>
  <c r="X65" i="3"/>
  <c r="X86" i="3"/>
  <c r="X54" i="3"/>
  <c r="X69" i="3"/>
  <c r="X120" i="3"/>
  <c r="X66" i="3"/>
  <c r="X82" i="3"/>
  <c r="X34" i="3"/>
  <c r="X113" i="3"/>
  <c r="X70" i="3"/>
  <c r="X55" i="3"/>
  <c r="X91" i="3"/>
  <c r="X100" i="3"/>
  <c r="X12" i="3"/>
  <c r="X14" i="3"/>
  <c r="X126" i="3"/>
  <c r="X74" i="3"/>
  <c r="X76" i="3"/>
  <c r="X88" i="3"/>
  <c r="X30" i="3"/>
  <c r="X99" i="3"/>
  <c r="X85" i="3"/>
  <c r="X47" i="3"/>
  <c r="X116" i="3"/>
  <c r="X19" i="3"/>
  <c r="X37" i="3"/>
  <c r="X131" i="3"/>
  <c r="X103" i="3"/>
  <c r="X119" i="3"/>
  <c r="X79" i="3"/>
  <c r="X102" i="3"/>
  <c r="X68" i="3"/>
  <c r="X64" i="3"/>
  <c r="X130" i="3"/>
  <c r="X129" i="3"/>
  <c r="X94" i="3"/>
  <c r="X36" i="3"/>
  <c r="X29" i="3"/>
  <c r="X77" i="3"/>
  <c r="X26" i="3"/>
  <c r="X95" i="3"/>
  <c r="X48" i="3"/>
  <c r="X93" i="3"/>
  <c r="X89" i="3"/>
  <c r="X110" i="3"/>
  <c r="X23" i="3"/>
  <c r="X112" i="3"/>
  <c r="X15" i="3"/>
  <c r="X16" i="3"/>
  <c r="X78" i="3"/>
  <c r="X61" i="3"/>
  <c r="X53" i="3"/>
  <c r="X52" i="3"/>
  <c r="X22" i="3"/>
  <c r="X108" i="3"/>
  <c r="X20" i="3"/>
  <c r="X107" i="3"/>
  <c r="X87" i="3"/>
  <c r="X25" i="3"/>
  <c r="X57" i="3"/>
  <c r="X105" i="3"/>
  <c r="X49" i="3"/>
  <c r="X27" i="3"/>
  <c r="X31" i="3"/>
  <c r="X80" i="3"/>
  <c r="X84" i="3"/>
  <c r="X62" i="3"/>
  <c r="X97" i="3"/>
  <c r="X104" i="3"/>
  <c r="X123" i="3"/>
  <c r="X114" i="3"/>
  <c r="X111" i="3"/>
  <c r="X117" i="3"/>
  <c r="X41" i="3"/>
  <c r="X67" i="3"/>
  <c r="X125" i="3"/>
  <c r="X11" i="3"/>
  <c r="X17" i="3"/>
  <c r="X81" i="3"/>
  <c r="X73" i="3"/>
  <c r="X21" i="3"/>
  <c r="X59" i="3"/>
  <c r="X127" i="3"/>
  <c r="X51" i="3"/>
  <c r="X96" i="3"/>
  <c r="X75" i="3"/>
  <c r="X124" i="3"/>
  <c r="X72" i="3"/>
  <c r="X121" i="3"/>
  <c r="X44" i="3"/>
  <c r="X71" i="3"/>
  <c r="X50" i="3"/>
  <c r="X132" i="3"/>
  <c r="X109" i="3"/>
  <c r="X83" i="3"/>
  <c r="X40" i="3"/>
  <c r="X33" i="3"/>
  <c r="X45" i="3"/>
  <c r="X128" i="3"/>
  <c r="X28" i="3"/>
  <c r="X38" i="3"/>
  <c r="X90" i="3"/>
  <c r="X24" i="3"/>
  <c r="X63" i="3"/>
  <c r="X60" i="3"/>
  <c r="X92" i="3"/>
  <c r="X58" i="3"/>
  <c r="H4" i="15" l="1"/>
  <c r="Z12" i="3"/>
  <c r="AC6" i="3" s="1"/>
  <c r="Y12" i="3"/>
  <c r="G4" i="15"/>
  <c r="Y11" i="3"/>
  <c r="I4" i="15" s="1"/>
  <c r="Y34" i="3"/>
  <c r="I27" i="15" s="1"/>
  <c r="Y79" i="3"/>
  <c r="I72" i="15" s="1"/>
  <c r="Y118" i="3"/>
  <c r="I111" i="15" s="1"/>
  <c r="Y126" i="3"/>
  <c r="I119" i="15" s="1"/>
  <c r="Y37" i="3"/>
  <c r="I30" i="15" s="1"/>
  <c r="Y101" i="3"/>
  <c r="I94" i="15" s="1"/>
  <c r="Y78" i="3"/>
  <c r="I71" i="15" s="1"/>
  <c r="Y100" i="3"/>
  <c r="I93" i="15" s="1"/>
  <c r="Y70" i="3"/>
  <c r="I63" i="15" s="1"/>
  <c r="Y62" i="3"/>
  <c r="I55" i="15" s="1"/>
  <c r="Y104" i="3"/>
  <c r="I97" i="15" s="1"/>
  <c r="Y42" i="3"/>
  <c r="I35" i="15" s="1"/>
  <c r="Y107" i="3"/>
  <c r="I100" i="15" s="1"/>
  <c r="Y66" i="3"/>
  <c r="I59" i="15" s="1"/>
  <c r="Y17" i="3"/>
  <c r="I10" i="15" s="1"/>
  <c r="Y68" i="3"/>
  <c r="I61" i="15" s="1"/>
  <c r="Y21" i="3"/>
  <c r="I14" i="15" s="1"/>
  <c r="Y15" i="3"/>
  <c r="I8" i="15" s="1"/>
  <c r="Y106" i="3"/>
  <c r="I99" i="15" s="1"/>
  <c r="Y48" i="3"/>
  <c r="I41" i="15" s="1"/>
  <c r="Y127" i="3"/>
  <c r="I120" i="15" s="1"/>
  <c r="Y43" i="3"/>
  <c r="I36" i="15" s="1"/>
  <c r="Y129" i="3"/>
  <c r="I122" i="15" s="1"/>
  <c r="Y18" i="3"/>
  <c r="I11" i="15" s="1"/>
  <c r="Y38" i="3"/>
  <c r="I31" i="15" s="1"/>
  <c r="Y75" i="3"/>
  <c r="I68" i="15" s="1"/>
  <c r="Y61" i="3"/>
  <c r="I54" i="15" s="1"/>
  <c r="Y46" i="3"/>
  <c r="I39" i="15" s="1"/>
  <c r="Y72" i="3"/>
  <c r="Y90" i="3"/>
  <c r="I83" i="15" s="1"/>
  <c r="Y80" i="3"/>
  <c r="I73" i="15" s="1"/>
  <c r="Y120" i="3"/>
  <c r="I113" i="15" s="1"/>
  <c r="Y40" i="3"/>
  <c r="I33" i="15" s="1"/>
  <c r="Y128" i="3"/>
  <c r="I121" i="15" s="1"/>
  <c r="Y64" i="3"/>
  <c r="I57" i="15" s="1"/>
  <c r="Y39" i="3"/>
  <c r="I32" i="15" s="1"/>
  <c r="Y73" i="3"/>
  <c r="I66" i="15" s="1"/>
  <c r="Y125" i="3"/>
  <c r="I118" i="15" s="1"/>
  <c r="Y114" i="3"/>
  <c r="I107" i="15" s="1"/>
  <c r="Y41" i="3"/>
  <c r="I34" i="15" s="1"/>
  <c r="Y36" i="3"/>
  <c r="I29" i="15" s="1"/>
  <c r="Y108" i="3"/>
  <c r="I101" i="15" s="1"/>
  <c r="Y96" i="3"/>
  <c r="I89" i="15" s="1"/>
  <c r="Y112" i="3"/>
  <c r="I105" i="15" s="1"/>
  <c r="Y23" i="3"/>
  <c r="I16" i="15" s="1"/>
  <c r="Y89" i="3"/>
  <c r="I82" i="15" s="1"/>
  <c r="Y63" i="3"/>
  <c r="I56" i="15" s="1"/>
  <c r="Y57" i="3"/>
  <c r="I50" i="15" s="1"/>
  <c r="Y25" i="3"/>
  <c r="I18" i="15" s="1"/>
  <c r="Y81" i="3"/>
  <c r="I74" i="15" s="1"/>
  <c r="Y110" i="3"/>
  <c r="I103" i="15" s="1"/>
  <c r="Y20" i="3"/>
  <c r="I13" i="15" s="1"/>
  <c r="Y59" i="3"/>
  <c r="I52" i="15" s="1"/>
  <c r="Y122" i="3"/>
  <c r="I115" i="15" s="1"/>
  <c r="Y58" i="3"/>
  <c r="I51" i="15" s="1"/>
  <c r="Y53" i="3"/>
  <c r="I46" i="15" s="1"/>
  <c r="Y28" i="3"/>
  <c r="I21" i="15" s="1"/>
  <c r="Y86" i="3"/>
  <c r="I79" i="15" s="1"/>
  <c r="Y82" i="3"/>
  <c r="I75" i="15" s="1"/>
  <c r="Y102" i="3"/>
  <c r="I95" i="15" s="1"/>
  <c r="Y45" i="3"/>
  <c r="I38" i="15" s="1"/>
  <c r="Y119" i="3"/>
  <c r="I112" i="15" s="1"/>
  <c r="Y88" i="3"/>
  <c r="I81" i="15" s="1"/>
  <c r="Y19" i="3"/>
  <c r="I12" i="15" s="1"/>
  <c r="Y54" i="3"/>
  <c r="I47" i="15" s="1"/>
  <c r="Y49" i="3"/>
  <c r="I42" i="15" s="1"/>
  <c r="Y77" i="3"/>
  <c r="I70" i="15" s="1"/>
  <c r="Y123" i="3"/>
  <c r="I116" i="15" s="1"/>
  <c r="Y24" i="3"/>
  <c r="I17" i="15" s="1"/>
  <c r="Y31" i="3"/>
  <c r="I24" i="15" s="1"/>
  <c r="Y97" i="3"/>
  <c r="I90" i="15" s="1"/>
  <c r="Y29" i="3"/>
  <c r="I22" i="15" s="1"/>
  <c r="Y98" i="3"/>
  <c r="I91" i="15" s="1"/>
  <c r="Y85" i="3"/>
  <c r="I78" i="15" s="1"/>
  <c r="Y69" i="3"/>
  <c r="I62" i="15" s="1"/>
  <c r="Y30" i="3"/>
  <c r="I23" i="15" s="1"/>
  <c r="Y14" i="3"/>
  <c r="I7" i="15" s="1"/>
  <c r="Y94" i="3"/>
  <c r="I87" i="15" s="1"/>
  <c r="Y27" i="3"/>
  <c r="I20" i="15" s="1"/>
  <c r="Y99" i="3"/>
  <c r="I92" i="15" s="1"/>
  <c r="Y71" i="3"/>
  <c r="I64" i="15" s="1"/>
  <c r="Y93" i="3"/>
  <c r="I86" i="15" s="1"/>
  <c r="Y113" i="3"/>
  <c r="Y92" i="3"/>
  <c r="I85" i="15" s="1"/>
  <c r="Y84" i="3"/>
  <c r="I77" i="15" s="1"/>
  <c r="Y44" i="3"/>
  <c r="I37" i="15" s="1"/>
  <c r="Y95" i="3"/>
  <c r="I88" i="15" s="1"/>
  <c r="Y56" i="3"/>
  <c r="I49" i="15" s="1"/>
  <c r="Y26" i="3"/>
  <c r="I19" i="15" s="1"/>
  <c r="Y130" i="3"/>
  <c r="I123" i="15" s="1"/>
  <c r="Y22" i="3"/>
  <c r="I15" i="15" s="1"/>
  <c r="Y121" i="3"/>
  <c r="I114" i="15" s="1"/>
  <c r="Y16" i="3"/>
  <c r="I9" i="15" s="1"/>
  <c r="Y91" i="3"/>
  <c r="I84" i="15" s="1"/>
  <c r="Y51" i="3"/>
  <c r="I44" i="15" s="1"/>
  <c r="Y74" i="3"/>
  <c r="I67" i="15" s="1"/>
  <c r="Y50" i="3"/>
  <c r="I43" i="15" s="1"/>
  <c r="Y87" i="3"/>
  <c r="I80" i="15" s="1"/>
  <c r="Y124" i="3"/>
  <c r="I117" i="15" s="1"/>
  <c r="Y65" i="3"/>
  <c r="I58" i="15" s="1"/>
  <c r="Y83" i="3"/>
  <c r="I76" i="15" s="1"/>
  <c r="Y131" i="3"/>
  <c r="I124" i="15" s="1"/>
  <c r="Y52" i="3"/>
  <c r="I45" i="15" s="1"/>
  <c r="Y67" i="3"/>
  <c r="I60" i="15" s="1"/>
  <c r="Y47" i="3"/>
  <c r="I40" i="15" s="1"/>
  <c r="Y109" i="3"/>
  <c r="I102" i="15" s="1"/>
  <c r="Y32" i="3"/>
  <c r="I25" i="15" s="1"/>
  <c r="Y111" i="3"/>
  <c r="I104" i="15" s="1"/>
  <c r="Y35" i="3"/>
  <c r="I28" i="15" s="1"/>
  <c r="Y103" i="3"/>
  <c r="I96" i="15" s="1"/>
  <c r="Y115" i="3"/>
  <c r="I108" i="15" s="1"/>
  <c r="Y105" i="3"/>
  <c r="I98" i="15" s="1"/>
  <c r="Y117" i="3"/>
  <c r="I110" i="15" s="1"/>
  <c r="Y33" i="3"/>
  <c r="I26" i="15" s="1"/>
  <c r="Y116" i="3"/>
  <c r="I109" i="15" s="1"/>
  <c r="Y60" i="3"/>
  <c r="I53" i="15" s="1"/>
  <c r="Y76" i="3"/>
  <c r="I69" i="15" s="1"/>
  <c r="Y55" i="3"/>
  <c r="I48" i="15" s="1"/>
  <c r="I106" i="15"/>
  <c r="I6" i="15"/>
  <c r="I65" i="15"/>
  <c r="L2" i="9"/>
  <c r="E8" i="1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G92" i="15"/>
  <c r="G99" i="15"/>
  <c r="G64" i="15"/>
  <c r="G120" i="15"/>
  <c r="G86" i="15"/>
  <c r="G36" i="15"/>
  <c r="G85" i="15"/>
  <c r="G37" i="15"/>
  <c r="G88" i="15"/>
  <c r="G68" i="15"/>
  <c r="G49" i="15"/>
  <c r="G13" i="15"/>
  <c r="G10" i="15"/>
  <c r="G11" i="15"/>
  <c r="H48" i="15"/>
  <c r="G48" i="15"/>
  <c r="H21" i="15"/>
  <c r="H49" i="15"/>
  <c r="H59" i="15"/>
  <c r="H69" i="15"/>
  <c r="H126" i="15"/>
  <c r="H100" i="15"/>
  <c r="H46" i="15"/>
  <c r="G126" i="15"/>
  <c r="G69" i="15"/>
  <c r="H115" i="15"/>
  <c r="H53" i="15"/>
  <c r="H109" i="15"/>
  <c r="H35" i="15"/>
  <c r="H31" i="15"/>
  <c r="H51" i="15"/>
  <c r="H22" i="15"/>
  <c r="H68" i="15"/>
  <c r="G6" i="15"/>
  <c r="G31" i="15"/>
  <c r="H55" i="15"/>
  <c r="H97" i="15"/>
  <c r="H6" i="15"/>
  <c r="H52" i="15"/>
  <c r="H110" i="15"/>
  <c r="H26" i="15"/>
  <c r="G55" i="15"/>
  <c r="G97" i="15"/>
  <c r="H11" i="15"/>
  <c r="H108" i="15"/>
  <c r="H98" i="15"/>
  <c r="H88" i="15"/>
  <c r="H13" i="15"/>
  <c r="H63" i="15"/>
  <c r="H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G82" i="15"/>
  <c r="G57" i="15"/>
  <c r="G41" i="15"/>
  <c r="G29" i="15"/>
  <c r="G34" i="15"/>
  <c r="G107" i="15"/>
  <c r="G125" i="15"/>
  <c r="G7" i="15"/>
  <c r="G8" i="15"/>
  <c r="G66" i="15"/>
  <c r="G56" i="15"/>
  <c r="G116" i="15"/>
  <c r="G113" i="15"/>
  <c r="G106" i="15"/>
  <c r="G118" i="15"/>
  <c r="G117" i="15"/>
  <c r="G77" i="15"/>
  <c r="G28" i="15"/>
  <c r="G122" i="15"/>
  <c r="H5" i="15"/>
  <c r="H95" i="15"/>
  <c r="H114" i="15"/>
  <c r="H83" i="15"/>
  <c r="H23" i="15"/>
  <c r="H15" i="15"/>
  <c r="H75" i="15"/>
  <c r="H65" i="15"/>
  <c r="E9" i="8"/>
  <c r="H62" i="15"/>
  <c r="H27" i="15"/>
  <c r="H123" i="15"/>
  <c r="H54" i="15"/>
  <c r="H19" i="15"/>
  <c r="H39" i="15"/>
  <c r="H91" i="15"/>
  <c r="H78" i="15"/>
  <c r="H79" i="15"/>
  <c r="G39" i="15"/>
  <c r="AB6" i="3" l="1"/>
  <c r="F8" i="19" s="1"/>
  <c r="I5" i="15"/>
  <c r="J4" i="3"/>
  <c r="R1" i="3" s="1"/>
  <c r="G7" i="19" s="1"/>
  <c r="K9" i="8" l="1"/>
  <c r="L8" i="8"/>
  <c r="R2" i="9"/>
</calcChain>
</file>

<file path=xl/comments1.xml><?xml version="1.0" encoding="utf-8"?>
<comments xmlns="http://schemas.openxmlformats.org/spreadsheetml/2006/main">
  <authors>
    <author xml:space="preserve"> </author>
    <author>James Swirhun</author>
  </authors>
  <commentList>
    <comment ref="A4" authorId="0">
      <text>
        <r>
          <rPr>
            <b/>
            <sz val="10"/>
            <color indexed="81"/>
            <rFont val="Tahoma"/>
            <family val="2"/>
          </rPr>
          <t>The Sample Type seelcted from pre-set values on the InputRanges sheet.</t>
        </r>
      </text>
    </comment>
    <comment ref="B4" authorId="0">
      <text>
        <r>
          <rPr>
            <b/>
            <sz val="10"/>
            <color indexed="81"/>
            <rFont val="Tahoma"/>
            <family val="2"/>
          </rPr>
          <t>The Sample Name is also used for the filename when saving data so avoid special characters: / ? * etc</t>
        </r>
      </text>
    </comment>
    <comment ref="C4" authorId="0">
      <text>
        <r>
          <rPr>
            <b/>
            <sz val="10"/>
            <color indexed="81"/>
            <rFont val="Tahoma"/>
            <family val="2"/>
          </rPr>
          <t>Thickness of the wafer in cm
e.g. A 100 µm wafer is 0.01 cm thick.</t>
        </r>
      </text>
    </comment>
    <comment ref="D4"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A7" authorId="0">
      <text>
        <r>
          <rPr>
            <b/>
            <sz val="10"/>
            <color indexed="81"/>
            <rFont val="Tahoma"/>
            <family val="2"/>
          </rPr>
          <t>Lifetime of minority carriers at the specified MCD.
(Auger Corrected)</t>
        </r>
      </text>
    </comment>
    <comment ref="B7" authorId="0">
      <text>
        <r>
          <rPr>
            <b/>
            <sz val="10"/>
            <color indexed="81"/>
            <rFont val="Tahoma"/>
            <family val="2"/>
          </rPr>
          <t>Sheet resistivity of the entire wafer thickness.  If wafer is diffused, parallel combination of bulk and emitter diffusion.</t>
        </r>
      </text>
    </comment>
    <comment ref="C7" authorId="0">
      <text>
        <r>
          <rPr>
            <b/>
            <sz val="10"/>
            <color indexed="81"/>
            <rFont val="Tahoma"/>
            <family val="2"/>
          </rPr>
          <t>Measured wafer resistivity based on Ohm/sq and the width.  Only valid for wafers without diffusions.</t>
        </r>
      </text>
    </comment>
    <comment ref="D7"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7"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7" authorId="1">
      <text>
        <r>
          <rPr>
            <b/>
            <sz val="10"/>
            <color indexed="81"/>
            <rFont val="Tahoma"/>
            <family val="2"/>
          </rPr>
          <t>The Implied Voc at an intensity of 1 sun.  This value depends heavily on the input resistivity.</t>
        </r>
      </text>
    </comment>
    <comment ref="G7"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
5. Input Values must be updated: Click the Update button to update the input values for the selected "Sample Type"</t>
        </r>
      </text>
    </comment>
  </commentList>
</comments>
</file>

<file path=xl/comments2.xml><?xml version="1.0" encoding="utf-8"?>
<comments xmlns="http://schemas.openxmlformats.org/spreadsheetml/2006/main">
  <authors>
    <author xml:space="preserve"> </author>
    <author>James Swirhun</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3.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B17" authorId="2">
      <text>
        <r>
          <rPr>
            <b/>
            <sz val="8"/>
            <color indexed="81"/>
            <rFont val="Tahoma"/>
            <family val="2"/>
          </rPr>
          <t xml:space="preserve">The Auger analysis can be selected here. The Options are "Sinton" or "Richter." When Richter analysis is selected, bandgap narrowing analysis is turned on. </t>
        </r>
      </text>
    </comment>
    <comment ref="F17" authorId="1">
      <text>
        <r>
          <rPr>
            <b/>
            <sz val="8"/>
            <color indexed="81"/>
            <rFont val="Tahoma"/>
            <family val="2"/>
          </rPr>
          <t>Set to TRUE to enable the "Taking Data" Screen.  False to just take a measurement without making adjustments.</t>
        </r>
      </text>
    </comment>
    <comment ref="B18" authorId="2">
      <text>
        <r>
          <rPr>
            <b/>
            <sz val="8"/>
            <color indexed="81"/>
            <rFont val="Tahoma"/>
            <family val="2"/>
          </rPr>
          <t xml:space="preserve">When the Richter Auger model is used, bandgap narrowing analysis is used in the analysis of the data.
</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5"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<sst xmlns="http://schemas.openxmlformats.org/spreadsheetml/2006/main" count="540" uniqueCount="422">
  <si>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</si>
  <si>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</si>
  <si>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</si>
  <si>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</si>
  <si>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</si>
  <si>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</si>
  <si>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</si>
  <si>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</si>
  <si>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</si>
  <si>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</si>
  <si>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</si>
  <si>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</si>
  <si>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</si>
  <si>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</si>
  <si>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</si>
  <si>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</si>
  <si>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</si>
  <si>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</si>
  <si>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</si>
  <si>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</si>
  <si>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</si>
  <si>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</si>
  <si>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</si>
  <si>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</si>
  <si>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</si>
  <si>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</si>
  <si>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</si>
  <si>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</si>
  <si>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</si>
  <si>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</si>
  <si>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</si>
  <si>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</si>
  <si>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</si>
  <si>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</si>
  <si>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</si>
  <si>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</si>
  <si>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</si>
  <si>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</si>
  <si>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</si>
  <si>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</si>
  <si>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</si>
  <si>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</si>
  <si>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</si>
  <si>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</si>
  <si>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</si>
  <si>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</si>
  <si>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</si>
  <si>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</si>
  <si>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</si>
  <si>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</si>
  <si>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</si>
  <si>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</si>
  <si>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</si>
  <si>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</si>
  <si>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</si>
  <si>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</si>
  <si>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</si>
  <si>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</si>
  <si>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</si>
  <si>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</si>
  <si>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</si>
  <si>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</si>
  <si>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</si>
  <si>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</si>
  <si>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</si>
  <si>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</si>
  <si>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</si>
  <si>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</si>
  <si>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</si>
  <si>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</si>
  <si>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</si>
  <si>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</si>
  <si>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</si>
  <si>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</si>
  <si>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</si>
  <si>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</si>
  <si>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</si>
  <si>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</si>
  <si>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</si>
  <si>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</si>
  <si>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</si>
  <si>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</si>
  <si>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</si>
  <si>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</si>
  <si>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</si>
  <si>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</si>
  <si>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</si>
  <si>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</si>
  <si>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</si>
  <si>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</si>
  <si>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</si>
  <si>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</si>
  <si>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</si>
  <si>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</si>
  <si>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</si>
  <si>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</si>
  <si>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</si>
  <si>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</si>
  <si>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</si>
  <si>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</si>
  <si>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</si>
  <si>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</si>
  <si>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</si>
  <si>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</si>
  <si>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</si>
  <si>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</si>
  <si>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</si>
  <si>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</si>
  <si>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</si>
  <si>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</si>
  <si>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</si>
  <si>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</si>
  <si>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</si>
  <si>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</si>
  <si>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</si>
  <si>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</si>
  <si>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</si>
  <si>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</si>
  <si>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</si>
  <si>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</si>
  <si>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</si>
  <si>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</si>
  <si>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</si>
  <si>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</si>
  <si>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</si>
  <si>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</si>
  <si>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</si>
  <si>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</si>
  <si>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</si>
  <si>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</si>
  <si>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Generalized</t>
  </si>
  <si>
    <t>The row above (row 2) is copied to summary.xlsm when the user presses the "log data to summary" button.</t>
  </si>
  <si>
    <t xml:space="preserve"> true</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</si>
  <si>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</si>
  <si>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</si>
  <si>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</si>
  <si>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</si>
  <si>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</si>
  <si>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</si>
  <si>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</si>
  <si>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</si>
  <si>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</si>
  <si>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</si>
  <si>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</si>
  <si>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</si>
  <si>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</si>
  <si>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</si>
  <si>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</si>
  <si>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</si>
  <si>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</si>
  <si>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</si>
  <si>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</si>
  <si>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</si>
  <si>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</si>
  <si>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</si>
  <si>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</si>
  <si>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</si>
  <si>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</si>
  <si>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</si>
  <si>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</si>
  <si>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</si>
  <si>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</si>
  <si>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</si>
  <si>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</si>
  <si>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</si>
  <si>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</si>
  <si>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</si>
  <si>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</si>
  <si>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</si>
  <si>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</si>
  <si>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</si>
  <si>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</si>
  <si>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</si>
  <si>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</si>
  <si>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</si>
  <si>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</si>
  <si>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</si>
  <si>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</si>
  <si>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</si>
  <si>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</si>
  <si>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</si>
  <si>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</si>
  <si>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</si>
  <si>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</si>
  <si>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</si>
  <si>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</si>
  <si>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</si>
  <si>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</si>
  <si>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</si>
  <si>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</si>
  <si>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</si>
  <si>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</si>
  <si>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</si>
  <si>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r>
      <t>cm</t>
    </r>
    <r>
      <rPr>
        <vertAlign val="superscript"/>
        <sz val="10"/>
        <rFont val="Arial"/>
        <family val="2"/>
      </rPr>
      <t>-3</t>
    </r>
  </si>
  <si>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</si>
  <si>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</si>
  <si>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</si>
  <si>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</si>
  <si>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</si>
  <si>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</si>
  <si>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</si>
  <si>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</si>
  <si>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</si>
  <si>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</si>
  <si>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</si>
  <si>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</si>
  <si>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</si>
  <si>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</si>
  <si>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r>
      <t>Wafer Doping (cm</t>
    </r>
    <r>
      <rPr>
        <b/>
        <vertAlign val="superscript"/>
        <sz val="8"/>
        <rFont val="Arial"/>
        <family val="2"/>
      </rPr>
      <t>-3</t>
    </r>
    <r>
      <rPr>
        <b/>
        <sz val="8"/>
        <rFont val="Arial"/>
        <family val="2"/>
      </rPr>
      <t>)</t>
    </r>
  </si>
  <si>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</si>
  <si>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</si>
  <si>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</si>
  <si>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</si>
  <si>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</si>
  <si>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</si>
  <si>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</si>
  <si>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</si>
  <si>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</si>
  <si>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</si>
  <si>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</si>
  <si>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</si>
  <si>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</si>
  <si>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</si>
  <si>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</si>
  <si>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</si>
  <si>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</si>
  <si>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</si>
  <si>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</si>
  <si>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</si>
  <si>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</si>
  <si>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</si>
  <si>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</si>
  <si>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</si>
  <si>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</si>
  <si>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</si>
  <si>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</si>
  <si>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</si>
  <si>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</si>
  <si>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</si>
  <si>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</si>
  <si>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</si>
  <si>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</si>
  <si>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</si>
  <si>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</si>
  <si>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</si>
  <si>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</si>
  <si>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</si>
  <si>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</si>
  <si>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</si>
  <si>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</si>
  <si>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</si>
  <si>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</si>
  <si>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</si>
  <si>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</si>
  <si>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</si>
  <si>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</si>
  <si>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</si>
  <si>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</si>
  <si>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r>
      <t>Specified MCD (cm</t>
    </r>
    <r>
      <rPr>
        <b/>
        <vertAlign val="superscript"/>
        <sz val="12"/>
        <rFont val="Arial"/>
        <family val="2"/>
      </rPr>
      <t>-3</t>
    </r>
    <r>
      <rPr>
        <b/>
        <sz val="12"/>
        <rFont val="Arial"/>
        <family val="2"/>
      </rPr>
      <t>)</t>
    </r>
  </si>
  <si>
    <r>
      <t>Sheet Resistance (</t>
    </r>
    <r>
      <rPr>
        <sz val="12"/>
        <rFont val="Calibri"/>
        <family val="2"/>
      </rPr>
      <t>Ω</t>
    </r>
    <r>
      <rPr>
        <b/>
        <sz val="12"/>
        <rFont val="Arial"/>
        <family val="2"/>
      </rPr>
      <t>/sq)</t>
    </r>
  </si>
  <si>
    <r>
      <t>Measured Resistivity (</t>
    </r>
    <r>
      <rPr>
        <sz val="12"/>
        <rFont val="Arial"/>
        <family val="2"/>
      </rPr>
      <t>Ω</t>
    </r>
    <r>
      <rPr>
        <b/>
        <sz val="12"/>
        <rFont val="Arial"/>
        <family val="2"/>
      </rPr>
      <t>-cm)</t>
    </r>
  </si>
  <si>
    <r>
      <t>J0 (A/cm</t>
    </r>
    <r>
      <rPr>
        <b/>
        <vertAlign val="superscript"/>
        <sz val="12"/>
        <rFont val="Arial"/>
        <family val="2"/>
      </rPr>
      <t>2</t>
    </r>
    <r>
      <rPr>
        <b/>
        <sz val="12"/>
        <rFont val="Arial"/>
        <family val="2"/>
      </rPr>
      <t>)</t>
    </r>
  </si>
  <si>
    <r>
      <t>Min MCD (cm</t>
    </r>
    <r>
      <rPr>
        <b/>
        <vertAlign val="superscript"/>
        <sz val="12"/>
        <rFont val="Arial"/>
        <family val="2"/>
      </rPr>
      <t>-3</t>
    </r>
    <r>
      <rPr>
        <b/>
        <sz val="12"/>
        <rFont val="Arial"/>
        <family val="2"/>
      </rPr>
      <t>)</t>
    </r>
  </si>
  <si>
    <r>
      <t>Max MCD (cm</t>
    </r>
    <r>
      <rPr>
        <b/>
        <vertAlign val="superscript"/>
        <sz val="12"/>
        <rFont val="Arial"/>
        <family val="2"/>
      </rPr>
      <t>-3</t>
    </r>
    <r>
      <rPr>
        <b/>
        <sz val="12"/>
        <rFont val="Arial"/>
        <family val="2"/>
      </rPr>
      <t>)</t>
    </r>
  </si>
  <si>
    <r>
      <t>Bias point CD (cm</t>
    </r>
    <r>
      <rPr>
        <b/>
        <vertAlign val="superscript"/>
        <sz val="12"/>
        <rFont val="Arial"/>
        <family val="2"/>
      </rPr>
      <t>-3</t>
    </r>
    <r>
      <rPr>
        <b/>
        <sz val="12"/>
        <rFont val="Arial"/>
        <family val="2"/>
      </rPr>
      <t>)</t>
    </r>
  </si>
  <si>
    <r>
      <t>Trap Density (cm</t>
    </r>
    <r>
      <rPr>
        <b/>
        <vertAlign val="superscript"/>
        <sz val="12"/>
        <rFont val="Arial"/>
        <family val="2"/>
      </rPr>
      <t>-3</t>
    </r>
    <r>
      <rPr>
        <b/>
        <sz val="12"/>
        <rFont val="Arial"/>
        <family val="2"/>
      </rPr>
      <t>)</t>
    </r>
  </si>
  <si>
    <r>
      <t>Doping
 (cm</t>
    </r>
    <r>
      <rPr>
        <b/>
        <vertAlign val="superscript"/>
        <sz val="12"/>
        <rFont val="Arial"/>
        <family val="2"/>
      </rPr>
      <t>-3</t>
    </r>
    <r>
      <rPr>
        <b/>
        <sz val="12"/>
        <rFont val="Arial"/>
        <family val="2"/>
      </rPr>
      <t>)</t>
    </r>
  </si>
  <si>
    <t>Sat. Ref Cell</t>
  </si>
  <si>
    <t>MCD out of Range</t>
  </si>
  <si>
    <t>Light Bias out of Range</t>
  </si>
  <si>
    <t xml:space="preserve"> </t>
  </si>
  <si>
    <t>Pulse Length</t>
  </si>
  <si>
    <t>Time Scale Flags</t>
  </si>
  <si>
    <t>Sample Type</t>
  </si>
  <si>
    <t>Fit Intercept (µs)</t>
  </si>
  <si>
    <t>Automatically save file after each measurement</t>
  </si>
  <si>
    <r>
      <t>QSS/Generalized Mode Acquisition Time (</t>
    </r>
    <r>
      <rPr>
        <b/>
        <sz val="10"/>
        <rFont val="Calibri"/>
        <family val="2"/>
      </rPr>
      <t>µ</t>
    </r>
    <r>
      <rPr>
        <b/>
        <sz val="10"/>
        <rFont val="Arial"/>
        <family val="2"/>
      </rPr>
      <t>s)</t>
    </r>
  </si>
  <si>
    <t>Transient Mode Total Acquisition Time (µs)</t>
  </si>
  <si>
    <t xml:space="preserve">Transient Mode # of Taus Beyond 150mV </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</si>
  <si>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</si>
  <si>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</si>
  <si>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</si>
  <si>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</si>
  <si>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</si>
  <si>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</si>
  <si>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</si>
  <si>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</si>
  <si>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</si>
  <si>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</si>
  <si>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</si>
  <si>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WCT-120</t>
  </si>
  <si>
    <t>Results:</t>
  </si>
  <si>
    <t>Result Description</t>
  </si>
  <si>
    <t>Symbolic</t>
  </si>
  <si>
    <t>Units</t>
  </si>
  <si>
    <t>Measured effective lifetime</t>
  </si>
  <si>
    <t xml:space="preserve">     Surface recombination</t>
  </si>
  <si>
    <t>S</t>
  </si>
  <si>
    <t>Sample Parameters:</t>
  </si>
  <si>
    <t>Parameter Description</t>
  </si>
  <si>
    <t>Sample ID</t>
  </si>
  <si>
    <t>-</t>
  </si>
  <si>
    <t>Sample thickness</t>
  </si>
  <si>
    <t>w</t>
  </si>
  <si>
    <t>cm</t>
  </si>
  <si>
    <t>Sample temperature</t>
  </si>
  <si>
    <t>T</t>
  </si>
  <si>
    <t>Doping concentration</t>
  </si>
  <si>
    <t>Doping type</t>
  </si>
  <si>
    <t>n/p</t>
  </si>
  <si>
    <t>Surface passivation, front and back</t>
  </si>
  <si>
    <t>Defect state:</t>
  </si>
  <si>
    <t xml:space="preserve">     Fe dissociation level</t>
  </si>
  <si>
    <t xml:space="preserve">     B:O degradation level</t>
  </si>
  <si>
    <t>Measurement type:</t>
  </si>
  <si>
    <t>Quasi-steady-state (QSS)</t>
  </si>
  <si>
    <t>Excitation wavelengths/frequencies (file)</t>
  </si>
  <si>
    <t>Trapping or DRM correction [if any]</t>
  </si>
  <si>
    <t>Instrument parameters:</t>
  </si>
  <si>
    <t>Instrument model &amp; software version</t>
  </si>
  <si>
    <t xml:space="preserve">Instrument Serial Number </t>
  </si>
  <si>
    <t>Light time profile</t>
  </si>
  <si>
    <t xml:space="preserve">     Calibration of photogeneration</t>
  </si>
  <si>
    <t>Sensor type</t>
  </si>
  <si>
    <t>Eddy Current</t>
  </si>
  <si>
    <t>Detection area</t>
  </si>
  <si>
    <t xml:space="preserve">     Area</t>
  </si>
  <si>
    <t xml:space="preserve">     Number of points</t>
  </si>
  <si>
    <t>1, center</t>
  </si>
  <si>
    <t>Time (s)</t>
  </si>
  <si>
    <r>
      <rPr>
        <sz val="9"/>
        <rFont val="Cambria"/>
        <family val="1"/>
      </rPr>
      <t>τ</t>
    </r>
    <r>
      <rPr>
        <vertAlign val="subscript"/>
        <sz val="9"/>
        <rFont val="Cambria"/>
        <family val="1"/>
      </rPr>
      <t>eff</t>
    </r>
  </si>
  <si>
    <r>
      <rPr>
        <sz val="9"/>
        <rFont val="Calibri"/>
        <family val="2"/>
      </rPr>
      <t>µ</t>
    </r>
    <r>
      <rPr>
        <sz val="9"/>
        <rFont val="Arial"/>
        <family val="2"/>
      </rPr>
      <t>s</t>
    </r>
  </si>
  <si>
    <r>
      <rPr>
        <sz val="9"/>
        <rFont val="Calibri"/>
        <family val="2"/>
      </rPr>
      <t>Δ</t>
    </r>
    <r>
      <rPr>
        <sz val="9"/>
        <rFont val="Arial"/>
        <family val="2"/>
      </rPr>
      <t>n</t>
    </r>
  </si>
  <si>
    <r>
      <t>cm</t>
    </r>
    <r>
      <rPr>
        <vertAlign val="superscript"/>
        <sz val="9"/>
        <rFont val="Arial"/>
        <family val="2"/>
      </rPr>
      <t>-3</t>
    </r>
  </si>
  <si>
    <r>
      <t>cm</t>
    </r>
    <r>
      <rPr>
        <vertAlign val="superscript"/>
        <sz val="9"/>
        <rFont val="Arial"/>
        <family val="2"/>
      </rPr>
      <t>2</t>
    </r>
    <r>
      <rPr>
        <sz val="9"/>
        <rFont val="Arial"/>
        <family val="2"/>
      </rPr>
      <t>/s</t>
    </r>
  </si>
  <si>
    <r>
      <t>τ</t>
    </r>
    <r>
      <rPr>
        <vertAlign val="subscript"/>
        <sz val="9"/>
        <rFont val="Cambria"/>
        <family val="1"/>
      </rPr>
      <t>bulk</t>
    </r>
  </si>
  <si>
    <r>
      <t>J</t>
    </r>
    <r>
      <rPr>
        <vertAlign val="subscript"/>
        <sz val="9"/>
        <rFont val="Arial"/>
        <family val="2"/>
      </rPr>
      <t>oe</t>
    </r>
  </si>
  <si>
    <r>
      <t>A/cm</t>
    </r>
    <r>
      <rPr>
        <vertAlign val="superscript"/>
        <sz val="9"/>
        <rFont val="Arial"/>
        <family val="2"/>
      </rPr>
      <t>2</t>
    </r>
  </si>
  <si>
    <r>
      <rPr>
        <sz val="9"/>
        <rFont val="Calibri"/>
        <family val="2"/>
      </rPr>
      <t>⁰</t>
    </r>
    <r>
      <rPr>
        <sz val="9"/>
        <rFont val="Arial"/>
        <family val="2"/>
      </rPr>
      <t>C</t>
    </r>
  </si>
  <si>
    <r>
      <t>N</t>
    </r>
    <r>
      <rPr>
        <vertAlign val="subscript"/>
        <sz val="9"/>
        <rFont val="Arial"/>
        <family val="2"/>
      </rPr>
      <t xml:space="preserve">A </t>
    </r>
    <r>
      <rPr>
        <sz val="9"/>
        <rFont val="Arial"/>
        <family val="2"/>
      </rPr>
      <t>(N</t>
    </r>
    <r>
      <rPr>
        <vertAlign val="subscript"/>
        <sz val="9"/>
        <rFont val="Arial"/>
        <family val="2"/>
      </rPr>
      <t>D</t>
    </r>
    <r>
      <rPr>
        <sz val="9"/>
        <rFont val="Arial"/>
        <family val="2"/>
      </rPr>
      <t>)</t>
    </r>
  </si>
  <si>
    <r>
      <t xml:space="preserve">     Calibration to </t>
    </r>
    <r>
      <rPr>
        <sz val="9"/>
        <rFont val="Calibri"/>
        <family val="2"/>
      </rPr>
      <t>Δ</t>
    </r>
    <r>
      <rPr>
        <i/>
        <sz val="9"/>
        <rFont val="Arial"/>
        <family val="2"/>
      </rPr>
      <t>n, including mobility model</t>
    </r>
  </si>
  <si>
    <r>
      <t>cm</t>
    </r>
    <r>
      <rPr>
        <vertAlign val="superscript"/>
        <sz val="9"/>
        <rFont val="Arial"/>
        <family val="2"/>
      </rPr>
      <t>2</t>
    </r>
  </si>
  <si>
    <t>V/sun</t>
  </si>
  <si>
    <t xml:space="preserve">     Method of averaging [if any]</t>
  </si>
  <si>
    <t>Time in s</t>
  </si>
  <si>
    <t>Test</t>
  </si>
  <si>
    <t>© Sinton Instruments 2012</t>
  </si>
  <si>
    <t>Interpretation parameters:</t>
  </si>
  <si>
    <t xml:space="preserve">     Bulk lifetime</t>
  </si>
  <si>
    <t xml:space="preserve">     Emitter saturation current</t>
  </si>
  <si>
    <t>Implied Suns</t>
  </si>
  <si>
    <t>Implied Voc</t>
  </si>
  <si>
    <t>Tau (auger corrected) @ specMCD (µs)</t>
  </si>
  <si>
    <t>Tau (auger corrected) @ specMCD (s)</t>
  </si>
  <si>
    <t>1/Tau (auger corrected) @ specMCD</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</si>
  <si>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</si>
  <si>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</si>
  <si>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</si>
  <si>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</si>
  <si>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</si>
  <si>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</si>
  <si>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</si>
  <si>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SEMI PV13 Recombination Lifetime Report</t>
  </si>
  <si>
    <t>Carrier density range</t>
  </si>
  <si>
    <t>Measured sheet resistance</t>
  </si>
  <si>
    <r>
      <rPr>
        <sz val="9"/>
        <rFont val="Calibri"/>
        <family val="2"/>
      </rPr>
      <t>Ω</t>
    </r>
    <r>
      <rPr>
        <sz val="9"/>
        <rFont val="Arial"/>
        <family val="2"/>
      </rPr>
      <t>/sq</t>
    </r>
  </si>
  <si>
    <t>Generalized (1/64)</t>
  </si>
  <si>
    <t>Generalized (1/1)</t>
  </si>
  <si>
    <t>Auger Model</t>
  </si>
  <si>
    <t>Bandgap Narrowing Analysis</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</si>
  <si>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</si>
  <si>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</si>
  <si>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</si>
  <si>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</si>
  <si>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</si>
  <si>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</si>
  <si>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</si>
  <si>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</si>
  <si>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</si>
  <si>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</si>
  <si>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</si>
  <si>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</si>
  <si>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</si>
  <si>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r>
      <t>Tau @ specMCD (</t>
    </r>
    <r>
      <rPr>
        <b/>
        <sz val="10"/>
        <rFont val="Calibri"/>
        <family val="2"/>
      </rPr>
      <t>μ</t>
    </r>
    <r>
      <rPr>
        <b/>
        <sz val="10"/>
        <rFont val="Arial"/>
        <family val="2"/>
      </rPr>
      <t>s)</t>
    </r>
  </si>
  <si>
    <t>Tau @ specMCD (s)</t>
  </si>
  <si>
    <r>
      <t>Tau fit (µs) (intercept @ -N</t>
    </r>
    <r>
      <rPr>
        <b/>
        <vertAlign val="subscript"/>
        <sz val="10"/>
        <rFont val="Arial"/>
        <family val="2"/>
      </rPr>
      <t>A</t>
    </r>
    <r>
      <rPr>
        <b/>
        <sz val="10"/>
        <rFont val="Arial"/>
        <family val="2"/>
      </rPr>
      <t>)</t>
    </r>
  </si>
  <si>
    <t>Table for input data for wafer types</t>
  </si>
  <si>
    <t>Wafer Type</t>
  </si>
  <si>
    <t>PC Zoom</t>
  </si>
  <si>
    <t>Ref Zoom</t>
  </si>
  <si>
    <t># of Flashes to Average</t>
  </si>
  <si>
    <t>Sample</t>
  </si>
  <si>
    <t>Type 2</t>
  </si>
  <si>
    <t>Type 3</t>
  </si>
  <si>
    <t>Type 4</t>
  </si>
  <si>
    <t>Type 5</t>
  </si>
  <si>
    <t>Type 6</t>
  </si>
  <si>
    <t>Type 7</t>
  </si>
  <si>
    <t>Type 8</t>
  </si>
  <si>
    <t>Type 9</t>
  </si>
  <si>
    <t>Type 10</t>
  </si>
  <si>
    <t>Type 11</t>
  </si>
  <si>
    <t>Type 12</t>
  </si>
  <si>
    <t>Type 13</t>
  </si>
  <si>
    <t>Type 14</t>
  </si>
  <si>
    <t>Type 15</t>
  </si>
  <si>
    <r>
      <t>Sheet Resistance (</t>
    </r>
    <r>
      <rPr>
        <sz val="10"/>
        <rFont val="Calibri"/>
        <family val="2"/>
      </rPr>
      <t>Ω</t>
    </r>
    <r>
      <rPr>
        <b/>
        <sz val="10"/>
        <rFont val="Arial"/>
        <family val="2"/>
      </rPr>
      <t>/sq)</t>
    </r>
  </si>
  <si>
    <r>
      <t>Measured Resistivity (</t>
    </r>
    <r>
      <rPr>
        <sz val="10"/>
        <rFont val="Arial"/>
        <family val="2"/>
      </rPr>
      <t>Ω</t>
    </r>
    <r>
      <rPr>
        <b/>
        <sz val="10"/>
        <rFont val="Arial"/>
        <family val="2"/>
      </rPr>
      <t>-cm)</t>
    </r>
  </si>
  <si>
    <r>
      <t>J0 (A/cm</t>
    </r>
    <r>
      <rPr>
        <b/>
        <vertAlign val="superscript"/>
        <sz val="10"/>
        <rFont val="Arial"/>
        <family val="2"/>
      </rPr>
      <t>2</t>
    </r>
    <r>
      <rPr>
        <b/>
        <sz val="10"/>
        <rFont val="Arial"/>
        <family val="2"/>
      </rPr>
      <t>)</t>
    </r>
  </si>
  <si>
    <t>Selection</t>
  </si>
  <si>
    <t>*BGN from Achim Kimmerle, Fraunhofer ISE</t>
  </si>
  <si>
    <t>Default</t>
  </si>
  <si>
    <t>Resistivity Ohm-cm</t>
  </si>
  <si>
    <t>4.4.8</t>
  </si>
  <si>
    <t>Update Cover Sheet</t>
  </si>
  <si>
    <t>© Sinton Instruments 2013</t>
  </si>
  <si>
    <t>ni2/tau</t>
  </si>
  <si>
    <t>ni2/tau fit slope</t>
  </si>
  <si>
    <t>4.5.0</t>
  </si>
  <si>
    <t>10-125797</t>
  </si>
  <si>
    <t>Logged</t>
  </si>
  <si>
    <t>will-130ohm</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</si>
</sst>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45">
    <font>
      <sz val="10"/>
      <name val="Arial"/>
      <family val="2"/>
    </font>
    <font>
      <sz val="10"/>
      <name val="Arial"/>
      <family val="2"/>
    </font>
    <font>
      <b/>
      <sz val="10"/>
      <name val="Arial"/>
      <family val="2"/>
    </font>
    <font>
      <b/>
      <sz val="12"/>
      <name val="Arial"/>
      <family val="2"/>
    </font>
    <font>
      <b/>
      <sz val="10"/>
      <color indexed="8"/>
      <name val="Arial"/>
      <family val="2"/>
    </font>
    <font>
      <sz val="8"/>
      <name val="Arial"/>
      <family val="2"/>
    </font>
    <font>
      <sz val="10"/>
      <name val="Arial"/>
      <family val="2"/>
    </font>
    <font>
      <b/>
      <sz val="10"/>
      <color indexed="12"/>
      <name val="Arial"/>
      <family val="2"/>
    </font>
    <font>
      <b/>
      <sz val="8"/>
      <name val="Arial"/>
      <family val="2"/>
    </font>
    <font>
      <b/>
      <sz val="8"/>
      <color indexed="81"/>
      <name val="Tahoma"/>
      <family val="2"/>
    </font>
    <font>
      <sz val="8"/>
      <color indexed="81"/>
      <name val="Tahoma"/>
      <family val="2"/>
    </font>
    <font>
      <b/>
      <sz val="10"/>
      <color indexed="10"/>
      <name val="Arial"/>
      <family val="2"/>
    </font>
    <font>
      <sz val="10"/>
      <color theme="3" tint="0.39997558519241921"/>
      <name val="Arial"/>
      <family val="2"/>
    </font>
    <font>
      <b/>
      <sz val="11"/>
      <name val="Arial"/>
      <family val="2"/>
    </font>
    <font>
      <b/>
      <sz val="10"/>
      <color rgb="FFFF0000"/>
      <name val="Arial"/>
      <family val="2"/>
    </font>
    <font>
      <b/>
      <sz val="20"/>
      <name val="Arial"/>
      <family val="2"/>
    </font>
    <font>
      <sz val="20"/>
      <color rgb="FF00B050"/>
      <name val="Arial"/>
      <family val="2"/>
    </font>
    <font>
      <vertAlign val="superscript"/>
      <sz val="10"/>
      <name val="Arial"/>
      <family val="2"/>
    </font>
    <font>
      <sz val="10"/>
      <name val="Calibri"/>
      <family val="2"/>
    </font>
    <font>
      <b/>
      <vertAlign val="superscript"/>
      <sz val="8"/>
      <name val="Arial"/>
      <family val="2"/>
    </font>
    <font>
      <b/>
      <sz val="12"/>
      <color rgb="FF2004EC"/>
      <name val="Arial"/>
      <family val="2"/>
    </font>
    <font>
      <b/>
      <vertAlign val="superscript"/>
      <sz val="12"/>
      <name val="Arial"/>
      <family val="2"/>
    </font>
    <font>
      <sz val="12"/>
      <name val="Calibri"/>
      <family val="2"/>
    </font>
    <font>
      <sz val="12"/>
      <name val="Arial"/>
      <family val="2"/>
    </font>
    <font>
      <b/>
      <sz val="10"/>
      <color indexed="81"/>
      <name val="Tahoma"/>
      <family val="2"/>
    </font>
    <font>
      <b/>
      <sz val="10"/>
      <color indexed="10"/>
      <name val="Tahoma"/>
      <family val="2"/>
    </font>
    <font>
      <b/>
      <sz val="12"/>
      <color rgb="FFFF0000"/>
      <name val="Arial"/>
      <family val="2"/>
    </font>
    <font>
      <b/>
      <sz val="10"/>
      <color rgb="FF2004EC"/>
      <name val="Arial"/>
      <family val="2"/>
    </font>
    <font>
      <b/>
      <sz val="10"/>
      <name val="Calibri"/>
      <family val="2"/>
    </font>
    <font>
      <b/>
      <sz val="11"/>
      <color indexed="81"/>
      <name val="Tahoma"/>
      <family val="2"/>
    </font>
    <font>
      <b/>
      <sz val="11"/>
      <color rgb="FFFF0000"/>
      <name val="Arial"/>
      <family val="2"/>
    </font>
    <font>
      <b/>
      <sz val="9"/>
      <name val="Arial"/>
      <family val="2"/>
    </font>
    <font>
      <sz val="9"/>
      <name val="Arial"/>
      <family val="2"/>
    </font>
    <font>
      <vertAlign val="subscript"/>
      <sz val="9"/>
      <name val="Cambria"/>
      <family val="1"/>
    </font>
    <font>
      <sz val="9"/>
      <name val="Cambria"/>
      <family val="1"/>
    </font>
    <font>
      <sz val="9"/>
      <name val="Calibri"/>
      <family val="2"/>
    </font>
    <font>
      <vertAlign val="superscript"/>
      <sz val="9"/>
      <name val="Arial"/>
      <family val="2"/>
    </font>
    <font>
      <i/>
      <sz val="9"/>
      <name val="Arial"/>
      <family val="2"/>
    </font>
    <font>
      <vertAlign val="subscript"/>
      <sz val="9"/>
      <name val="Arial"/>
      <family val="2"/>
    </font>
    <font>
      <b/>
      <sz val="10"/>
      <color rgb="FF000000"/>
      <name val="Arial"/>
      <family val="2"/>
    </font>
    <font>
      <b/>
      <sz val="12"/>
      <color rgb="FF6D6D6D"/>
      <name val="Myriad Pro Light"/>
      <family val="2"/>
    </font>
    <font>
      <b/>
      <sz val="11"/>
      <color rgb="FF2004EC"/>
      <name val="Arial"/>
      <family val="2"/>
    </font>
    <font>
      <b/>
      <vertAlign val="subscript"/>
      <sz val="10"/>
      <name val="Arial"/>
      <family val="2"/>
    </font>
    <font>
      <b/>
      <sz val="8"/>
      <color rgb="FFFF0000"/>
      <name val="Arial"/>
      <family val="2"/>
    </font>
    <font>
      <b/>
      <vertAlign val="superscript"/>
      <sz val="10"/>
      <name val="Arial"/>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1" fillId="0" borderId="0"/>
    <xf numFmtId="9" fontId="1" fillId="0" borderId="0" applyFont="0" applyFill="0" applyBorder="0" applyAlignment="0" applyProtection="0"/>
  </cellStyleXfs>
  <cellXfs count="354">
    <xf numFmtId="0" fontId="0" fillId="0" borderId="0" xfId="0"/>
    <xf numFmtId="0" fontId="2" fillId="0" borderId="0" xfId="0" applyFont="1"/>
    <xf numFmtId="11" fontId="2" fillId="0" borderId="0" xfId="0" applyNumberFormat="1" applyFont="1"/>
    <xf numFmtId="0" fontId="2" fillId="0" borderId="0" xfId="0" applyFont="1" applyFill="1" applyBorder="1" applyAlignment="1" applyProtection="1">
      <alignment horizontal="center" wrapText="1"/>
    </xf>
    <xf numFmtId="0" fontId="2" fillId="0" borderId="0" xfId="0" applyFont="1" applyBorder="1" applyProtection="1"/>
    <xf numFmtId="0" fontId="2" fillId="0" borderId="0" xfId="0" applyFont="1" applyBorder="1"/>
    <xf numFmtId="0" fontId="2" fillId="0" borderId="0" xfId="0" applyFont="1" applyBorder="1" applyAlignment="1" applyProtection="1">
      <alignment horizontal="left"/>
    </xf>
    <xf numFmtId="14" fontId="2" fillId="0" borderId="0" xfId="0" applyNumberFormat="1" applyFont="1" applyBorder="1" applyAlignment="1" applyProtection="1">
      <alignment horizontal="centerContinuous"/>
    </xf>
    <xf numFmtId="0" fontId="2" fillId="0" borderId="0" xfId="0" applyFont="1" applyBorder="1" applyAlignment="1" applyProtection="1">
      <alignment horizontal="centerContinuous"/>
    </xf>
    <xf numFmtId="0" fontId="2" fillId="2" borderId="0" xfId="0" applyFont="1" applyFill="1" applyBorder="1" applyProtection="1"/>
    <xf numFmtId="0" fontId="2" fillId="2" borderId="0" xfId="0" applyFont="1" applyFill="1" applyBorder="1" applyAlignment="1" applyProtection="1">
      <alignment horizontal="left"/>
    </xf>
    <xf numFmtId="0" fontId="2" fillId="0" borderId="0" xfId="0" applyFont="1" applyFill="1" applyBorder="1" applyProtection="1"/>
    <xf numFmtId="0" fontId="2" fillId="0" borderId="0" xfId="0" applyFont="1" applyBorder="1" applyAlignment="1" applyProtection="1">
      <alignment horizontal="center"/>
    </xf>
    <xf numFmtId="0" fontId="0" fillId="0" borderId="0" xfId="0" applyFont="1" applyBorder="1" applyProtection="1"/>
    <xf numFmtId="0" fontId="0" fillId="0" borderId="0" xfId="0" applyFont="1" applyBorder="1"/>
    <xf numFmtId="0" fontId="0" fillId="0" borderId="0" xfId="0" applyFont="1"/>
    <xf numFmtId="0" fontId="0" fillId="0" borderId="0" xfId="0" applyFont="1" applyProtection="1"/>
    <xf numFmtId="0" fontId="2" fillId="0" borderId="0" xfId="0" applyFont="1" applyProtection="1"/>
    <xf numFmtId="0" fontId="2" fillId="0" borderId="0" xfId="0" applyFont="1" applyBorder="1" applyAlignment="1" applyProtection="1">
      <alignment wrapText="1"/>
    </xf>
    <xf numFmtId="0" fontId="2" fillId="0" borderId="0" xfId="0" applyFont="1" applyAlignment="1">
      <alignment horizontal="right"/>
    </xf>
    <xf numFmtId="0" fontId="2" fillId="2" borderId="0" xfId="0" applyFont="1" applyFill="1" applyBorder="1" applyAlignment="1" applyProtection="1">
      <alignment horizontal="centerContinuous" wrapText="1"/>
    </xf>
    <xf numFmtId="0" fontId="2" fillId="2" borderId="0" xfId="0" applyFont="1" applyFill="1" applyBorder="1" applyAlignment="1" applyProtection="1">
      <alignment horizontal="centerContinuous"/>
    </xf>
    <xf numFmtId="0" fontId="3" fillId="0" borderId="0" xfId="0" applyFont="1"/>
    <xf numFmtId="0" fontId="0" fillId="0" borderId="0" xfId="0" applyFont="1" applyBorder="1" applyAlignment="1"/>
    <xf numFmtId="0" fontId="2" fillId="0" borderId="0" xfId="0" applyFont="1" applyFill="1" applyBorder="1" applyAlignment="1" applyProtection="1">
      <alignment horizontal="center" vertical="top" wrapText="1"/>
    </xf>
    <xf numFmtId="16" fontId="2" fillId="0" borderId="0" xfId="0" applyNumberFormat="1" applyFont="1" applyBorder="1" applyProtection="1"/>
    <xf numFmtId="167" fontId="2" fillId="0" borderId="0" xfId="0" applyNumberFormat="1" applyFont="1" applyBorder="1" applyProtection="1"/>
    <xf numFmtId="16" fontId="0" fillId="0" borderId="0" xfId="0" applyNumberFormat="1" applyFont="1" applyBorder="1" applyProtection="1"/>
    <xf numFmtId="167" fontId="0" fillId="0" borderId="0" xfId="0" applyNumberFormat="1" applyFont="1" applyBorder="1" applyProtection="1"/>
    <xf numFmtId="2" fontId="0" fillId="0" borderId="0" xfId="0" applyNumberFormat="1" applyFont="1" applyBorder="1" applyProtection="1"/>
    <xf numFmtId="2" fontId="2" fillId="0" borderId="0" xfId="0" applyNumberFormat="1" applyFont="1" applyBorder="1" applyProtection="1"/>
    <xf numFmtId="0" fontId="2" fillId="0" borderId="0" xfId="0" applyFont="1" applyBorder="1" applyAlignment="1">
      <alignment horizontal="center"/>
    </xf>
    <xf numFmtId="0" fontId="2" fillId="3" borderId="0" xfId="0" applyFont="1" applyFill="1" applyBorder="1" applyAlignment="1" applyProtection="1">
      <alignment horizontal="center" wrapText="1"/>
    </xf>
    <xf numFmtId="0" fontId="2" fillId="3" borderId="0" xfId="0" applyFont="1" applyFill="1" applyBorder="1" applyAlignment="1" applyProtection="1">
      <alignment horizontal="center"/>
    </xf>
    <xf numFmtId="0" fontId="2" fillId="3" borderId="0" xfId="0" applyFont="1" applyFill="1" applyBorder="1"/>
    <xf numFmtId="0" fontId="11" fillId="3" borderId="0" xfId="0" applyFont="1" applyFill="1" applyBorder="1"/>
    <xf numFmtId="167" fontId="0" fillId="3" borderId="0" xfId="0" applyNumberFormat="1" applyFont="1" applyFill="1" applyBorder="1" applyAlignment="1">
      <alignment horizontal="center"/>
    </xf>
    <xf numFmtId="2" fontId="0" fillId="3" borderId="0" xfId="0" applyNumberFormat="1" applyFont="1" applyFill="1" applyBorder="1" applyAlignment="1">
      <alignment horizontal="center"/>
    </xf>
    <xf numFmtId="0" fontId="0" fillId="3" borderId="0" xfId="0" applyFont="1" applyFill="1" applyBorder="1" applyAlignment="1">
      <alignment horizontal="center"/>
    </xf>
    <xf numFmtId="166" fontId="0" fillId="3" borderId="0" xfId="0" applyNumberFormat="1" applyFont="1" applyFill="1" applyBorder="1" applyAlignment="1">
      <alignment horizontal="center"/>
    </xf>
    <xf numFmtId="11" fontId="0" fillId="3" borderId="0" xfId="0" applyNumberFormat="1" applyFont="1" applyFill="1" applyAlignment="1">
      <alignment horizontal="center"/>
    </xf>
    <xf numFmtId="0" fontId="0" fillId="3" borderId="0" xfId="0" applyFont="1" applyFill="1" applyAlignment="1">
      <alignment horizontal="center"/>
    </xf>
    <xf numFmtId="0" fontId="0" fillId="3" borderId="0" xfId="0" applyFont="1" applyFill="1" applyBorder="1" applyAlignment="1">
      <alignment horizontal="center" wrapText="1"/>
    </xf>
    <xf numFmtId="11" fontId="0" fillId="3" borderId="0" xfId="0" applyNumberFormat="1" applyFont="1" applyFill="1" applyBorder="1" applyAlignment="1">
      <alignment horizontal="center" wrapText="1"/>
    </xf>
    <xf numFmtId="0" fontId="12" fillId="3" borderId="0" xfId="0" applyFont="1" applyFill="1" applyBorder="1" applyAlignment="1">
      <alignment horizontal="center" wrapText="1"/>
    </xf>
    <xf numFmtId="0" fontId="12" fillId="3" borderId="0" xfId="0" applyFont="1" applyFill="1" applyBorder="1" applyAlignment="1">
      <alignment horizontal="center"/>
    </xf>
    <xf numFmtId="0" fontId="0" fillId="3" borderId="0" xfId="0" applyFont="1" applyFill="1" applyBorder="1" applyAlignment="1" applyProtection="1">
      <alignment horizontal="center"/>
      <protection locked="0"/>
    </xf>
    <xf numFmtId="0" fontId="12" fillId="3" borderId="0" xfId="0" applyNumberFormat="1" applyFont="1" applyFill="1" applyBorder="1" applyAlignment="1">
      <alignment horizontal="center"/>
    </xf>
    <xf numFmtId="0" fontId="0" fillId="3" borderId="0" xfId="0" applyNumberFormat="1" applyFont="1" applyFill="1" applyBorder="1" applyAlignment="1">
      <alignment horizontal="center"/>
    </xf>
    <xf numFmtId="0" fontId="2" fillId="3" borderId="0" xfId="0" applyFont="1" applyFill="1" applyBorder="1" applyAlignment="1">
      <alignment horizontal="center"/>
    </xf>
    <xf numFmtId="0" fontId="0" fillId="3" borderId="0" xfId="0" applyFont="1" applyFill="1" applyBorder="1" applyAlignment="1" applyProtection="1">
      <alignment horizontal="center"/>
    </xf>
    <xf numFmtId="11" fontId="0" fillId="3" borderId="0" xfId="0" applyNumberFormat="1" applyFont="1" applyFill="1" applyBorder="1" applyAlignment="1">
      <alignment horizontal="center"/>
    </xf>
    <xf numFmtId="0" fontId="2" fillId="3" borderId="0" xfId="0" applyFont="1" applyFill="1" applyBorder="1" applyAlignment="1" applyProtection="1">
      <alignment horizontal="center"/>
      <protection locked="0"/>
    </xf>
    <xf numFmtId="11" fontId="12" fillId="3" borderId="0" xfId="0" applyNumberFormat="1" applyFont="1" applyFill="1" applyBorder="1" applyAlignment="1" applyProtection="1">
      <alignment horizontal="center"/>
      <protection locked="0"/>
    </xf>
    <xf numFmtId="165" fontId="12" fillId="3" borderId="0" xfId="0" applyNumberFormat="1" applyFont="1" applyFill="1" applyBorder="1" applyAlignment="1" applyProtection="1">
      <alignment horizontal="center"/>
      <protection locked="0"/>
    </xf>
    <xf numFmtId="2" fontId="0" fillId="3" borderId="0" xfId="0" applyNumberFormat="1" applyFont="1" applyFill="1" applyBorder="1" applyAlignment="1" applyProtection="1">
      <alignment horizontal="center"/>
      <protection locked="0"/>
    </xf>
    <xf numFmtId="11" fontId="0" fillId="3" borderId="0" xfId="0" applyNumberFormat="1" applyFont="1" applyFill="1" applyBorder="1" applyAlignment="1" applyProtection="1">
      <alignment horizontal="center"/>
      <protection locked="0"/>
    </xf>
    <xf numFmtId="1" fontId="0" fillId="3" borderId="0" xfId="0" applyNumberFormat="1" applyFont="1" applyFill="1" applyBorder="1" applyAlignment="1" applyProtection="1">
      <alignment horizontal="center"/>
      <protection locked="0"/>
    </xf>
    <xf numFmtId="165" fontId="0" fillId="3" borderId="0" xfId="0" applyNumberFormat="1" applyFont="1" applyFill="1" applyBorder="1" applyAlignment="1" applyProtection="1">
      <alignment horizontal="center"/>
      <protection locked="0"/>
    </xf>
    <xf numFmtId="0" fontId="12" fillId="3" borderId="0" xfId="0" applyFont="1" applyFill="1" applyBorder="1" applyAlignment="1" applyProtection="1">
      <alignment horizontal="center"/>
      <protection locked="0"/>
    </xf>
    <xf numFmtId="11" fontId="12" fillId="3" borderId="0" xfId="0" applyNumberFormat="1" applyFont="1" applyFill="1" applyBorder="1" applyAlignment="1">
      <alignment horizontal="center"/>
    </xf>
    <xf numFmtId="0" fontId="3" fillId="3" borderId="0" xfId="0" applyFont="1" applyFill="1" applyBorder="1" applyAlignment="1" applyProtection="1">
      <alignment horizontal="left"/>
      <protection locked="0"/>
    </xf>
    <xf numFmtId="0" fontId="11" fillId="3" borderId="0" xfId="0" applyFont="1" applyFill="1" applyBorder="1" applyAlignment="1">
      <alignment horizontal="center"/>
    </xf>
    <xf numFmtId="0" fontId="13" fillId="3" borderId="0" xfId="0" applyFont="1" applyFill="1" applyBorder="1"/>
    <xf numFmtId="0" fontId="2" fillId="3" borderId="7" xfId="0" applyFont="1" applyFill="1" applyBorder="1" applyAlignment="1">
      <alignment horizontal="center"/>
    </xf>
    <xf numFmtId="0" fontId="2" fillId="3" borderId="7" xfId="0" applyFont="1" applyFill="1" applyBorder="1" applyAlignment="1" applyProtection="1">
      <alignment horizontal="center" wrapText="1"/>
    </xf>
    <xf numFmtId="0" fontId="2" fillId="3" borderId="7" xfId="0" applyFont="1" applyFill="1" applyBorder="1" applyAlignment="1" applyProtection="1">
      <alignment horizontal="center"/>
    </xf>
    <xf numFmtId="0" fontId="4" fillId="3" borderId="7" xfId="0" applyFont="1" applyFill="1" applyBorder="1" applyAlignment="1" applyProtection="1">
      <alignment horizontal="center"/>
    </xf>
    <xf numFmtId="16" fontId="2" fillId="3" borderId="0" xfId="0" applyNumberFormat="1" applyFont="1" applyFill="1" applyBorder="1" applyAlignment="1" applyProtection="1">
      <alignment horizontal="center"/>
      <protection locked="0"/>
    </xf>
    <xf numFmtId="14" fontId="0" fillId="3" borderId="0" xfId="0" applyNumberFormat="1" applyFont="1" applyFill="1" applyBorder="1" applyAlignment="1" applyProtection="1">
      <alignment horizontal="center"/>
      <protection locked="0"/>
    </xf>
    <xf numFmtId="19" fontId="0" fillId="3" borderId="0" xfId="0" applyNumberFormat="1" applyFont="1" applyFill="1" applyBorder="1" applyAlignment="1">
      <alignment horizontal="center"/>
    </xf>
    <xf numFmtId="11" fontId="2" fillId="3" borderId="0" xfId="0" applyNumberFormat="1" applyFont="1" applyFill="1" applyBorder="1" applyAlignment="1">
      <alignment horizontal="center"/>
    </xf>
    <xf numFmtId="167" fontId="0" fillId="3" borderId="0" xfId="0" applyNumberFormat="1" applyFont="1" applyFill="1" applyBorder="1" applyAlignment="1" applyProtection="1">
      <alignment horizontal="center"/>
    </xf>
    <xf numFmtId="2" fontId="0" fillId="3" borderId="0" xfId="0" applyNumberFormat="1" applyFont="1" applyFill="1" applyBorder="1" applyAlignment="1" applyProtection="1">
      <alignment horizontal="center"/>
    </xf>
    <xf numFmtId="11" fontId="0" fillId="3" borderId="0" xfId="0" applyNumberFormat="1" applyFont="1" applyFill="1" applyBorder="1" applyAlignment="1" applyProtection="1">
      <alignment horizontal="center"/>
    </xf>
    <xf numFmtId="1" fontId="0" fillId="3" borderId="0" xfId="0" applyNumberFormat="1" applyFont="1" applyFill="1" applyBorder="1" applyAlignment="1" applyProtection="1">
      <alignment horizontal="center"/>
    </xf>
    <xf numFmtId="0" fontId="0" fillId="3" borderId="0" xfId="0" applyFont="1" applyFill="1" applyBorder="1" applyAlignment="1" applyProtection="1">
      <alignment horizontal="center" wrapText="1"/>
    </xf>
    <xf numFmtId="171" fontId="0" fillId="3" borderId="0" xfId="0" applyNumberFormat="1" applyFont="1" applyFill="1" applyBorder="1" applyAlignment="1">
      <alignment horizontal="center"/>
    </xf>
    <xf numFmtId="0" fontId="12" fillId="3" borderId="0" xfId="0" applyFont="1" applyFill="1" applyAlignment="1">
      <alignment horizontal="center"/>
    </xf>
    <xf numFmtId="0" fontId="12" fillId="3" borderId="0" xfId="0" applyNumberFormat="1" applyFont="1" applyFill="1" applyAlignment="1">
      <alignment horizontal="center"/>
    </xf>
    <xf numFmtId="2" fontId="0" fillId="3" borderId="5" xfId="0" applyNumberFormat="1" applyFont="1" applyFill="1" applyBorder="1" applyAlignment="1">
      <alignment horizontal="center"/>
    </xf>
    <xf numFmtId="2" fontId="0" fillId="3" borderId="5" xfId="0" applyNumberFormat="1" applyFont="1" applyFill="1" applyBorder="1" applyAlignment="1" applyProtection="1">
      <alignment horizontal="center" wrapText="1"/>
      <protection locked="0"/>
    </xf>
    <xf numFmtId="11" fontId="0" fillId="3" borderId="5" xfId="0" applyNumberFormat="1" applyFont="1" applyFill="1" applyBorder="1" applyAlignment="1" applyProtection="1">
      <alignment horizontal="center"/>
      <protection locked="0"/>
    </xf>
    <xf numFmtId="167" fontId="0" fillId="3" borderId="5" xfId="0" applyNumberFormat="1" applyFont="1" applyFill="1" applyBorder="1" applyAlignment="1" applyProtection="1">
      <alignment horizontal="center"/>
    </xf>
    <xf numFmtId="11" fontId="0" fillId="3" borderId="5" xfId="0" applyNumberFormat="1" applyFont="1" applyFill="1" applyBorder="1" applyAlignment="1" applyProtection="1">
      <alignment horizontal="center"/>
    </xf>
    <xf numFmtId="168" fontId="0" fillId="3" borderId="5" xfId="0" applyNumberFormat="1" applyFont="1" applyFill="1" applyBorder="1" applyAlignment="1" applyProtection="1">
      <alignment horizontal="center"/>
    </xf>
    <xf numFmtId="171" fontId="0" fillId="3" borderId="5" xfId="0" applyNumberFormat="1" applyFont="1" applyFill="1" applyBorder="1" applyAlignment="1" applyProtection="1">
      <alignment horizontal="center"/>
    </xf>
    <xf numFmtId="166" fontId="0" fillId="3" borderId="5" xfId="0" applyNumberFormat="1" applyFont="1" applyFill="1" applyBorder="1" applyAlignment="1" applyProtection="1">
      <alignment horizontal="center"/>
    </xf>
    <xf numFmtId="167" fontId="0" fillId="3" borderId="6" xfId="0" applyNumberFormat="1" applyFont="1" applyFill="1" applyBorder="1" applyAlignment="1" applyProtection="1">
      <alignment horizontal="center"/>
    </xf>
    <xf numFmtId="14" fontId="0" fillId="3" borderId="7" xfId="0" applyNumberFormat="1" applyFont="1" applyFill="1" applyBorder="1" applyAlignment="1">
      <alignment horizontal="center"/>
    </xf>
    <xf numFmtId="19" fontId="0" fillId="3" borderId="7" xfId="0" applyNumberFormat="1" applyFont="1" applyFill="1" applyBorder="1" applyAlignment="1" applyProtection="1">
      <alignment horizontal="center"/>
    </xf>
    <xf numFmtId="0" fontId="0" fillId="3" borderId="0" xfId="0" applyNumberFormat="1" applyFont="1" applyFill="1" applyAlignment="1">
      <alignment horizontal="center"/>
    </xf>
    <xf numFmtId="0" fontId="2" fillId="4" borderId="5" xfId="0" applyFont="1" applyFill="1" applyBorder="1" applyAlignment="1" applyProtection="1">
      <alignment horizontal="center" wrapText="1"/>
    </xf>
    <xf numFmtId="0" fontId="2" fillId="4" borderId="5" xfId="0" applyFont="1" applyFill="1" applyBorder="1" applyAlignment="1">
      <alignment horizontal="center" wrapText="1"/>
    </xf>
    <xf numFmtId="14" fontId="2" fillId="4" borderId="4" xfId="0" applyNumberFormat="1" applyFont="1" applyFill="1" applyBorder="1" applyAlignment="1" applyProtection="1">
      <alignment horizontal="center" wrapText="1"/>
    </xf>
    <xf numFmtId="21" fontId="2" fillId="4" borderId="5" xfId="0" applyNumberFormat="1" applyFont="1" applyFill="1" applyBorder="1" applyAlignment="1" applyProtection="1">
      <alignment horizontal="center" wrapText="1"/>
    </xf>
    <xf numFmtId="0" fontId="0" fillId="4" borderId="7" xfId="0" applyFont="1" applyFill="1" applyBorder="1" applyAlignment="1">
      <alignment horizontal="center"/>
    </xf>
    <xf numFmtId="16" fontId="0" fillId="4" borderId="7" xfId="0" applyNumberFormat="1" applyFont="1" applyFill="1" applyBorder="1" applyAlignment="1">
      <alignment horizontal="center"/>
    </xf>
    <xf numFmtId="0" fontId="0" fillId="3" borderId="0" xfId="0" applyFill="1" applyBorder="1" applyAlignment="1" applyProtection="1">
      <alignment horizontal="center"/>
      <protection locked="0"/>
    </xf>
    <xf numFmtId="0" fontId="0" fillId="3" borderId="0" xfId="0" applyFill="1" applyBorder="1" applyAlignment="1">
      <alignment horizontal="center"/>
    </xf>
    <xf numFmtId="0" fontId="0" fillId="3" borderId="0" xfId="0" applyFill="1" applyAlignment="1">
      <alignment horizontal="center"/>
    </xf>
    <xf numFmtId="0" fontId="18" fillId="3" borderId="0" xfId="0" applyFont="1" applyFill="1" applyBorder="1" applyAlignment="1">
      <alignment horizontal="center"/>
    </xf>
    <xf numFmtId="0" fontId="3" fillId="3" borderId="0" xfId="0" applyFont="1" applyFill="1" applyBorder="1"/>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11"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8" fillId="3" borderId="0" xfId="0" applyFont="1" applyFill="1" applyAlignment="1">
      <alignment wrapText="1"/>
    </xf>
    <xf numFmtId="0" fontId="0" fillId="3" borderId="0" xfId="0" applyFill="1"/>
    <xf numFmtId="11" fontId="0" fillId="3" borderId="0" xfId="0" applyNumberFormat="1" applyFill="1"/>
    <xf numFmtId="0" fontId="7" fillId="3" borderId="0" xfId="0" applyFont="1" applyFill="1"/>
    <xf numFmtId="2" fontId="0" fillId="3" borderId="0" xfId="0" applyNumberFormat="1" applyFill="1"/>
    <xf numFmtId="0" fontId="2" fillId="3" borderId="0" xfId="0" applyFont="1" applyFill="1"/>
    <xf numFmtId="11" fontId="2" fillId="3" borderId="0" xfId="0" applyNumberFormat="1" applyFont="1" applyFill="1"/>
    <xf numFmtId="14" fontId="0" fillId="3" borderId="0" xfId="0" applyNumberFormat="1" applyFill="1"/>
    <xf numFmtId="0" fontId="0" fillId="3" borderId="0" xfId="0" applyNumberFormat="1" applyFill="1"/>
    <xf numFmtId="170" fontId="0" fillId="3" borderId="0" xfId="0" applyNumberFormat="1" applyFill="1"/>
    <xf numFmtId="16" fontId="6" fillId="3" borderId="4" xfId="0" applyNumberFormat="1" applyFont="1" applyFill="1" applyBorder="1" applyAlignment="1">
      <alignment horizontal="center"/>
    </xf>
    <xf numFmtId="169" fontId="6" fillId="3" borderId="5" xfId="0" applyNumberFormat="1" applyFont="1" applyFill="1" applyBorder="1" applyAlignment="1">
      <alignment horizontal="center"/>
    </xf>
    <xf numFmtId="19" fontId="0" fillId="3" borderId="5" xfId="0" applyNumberFormat="1" applyFill="1" applyBorder="1" applyAlignment="1">
      <alignment horizontal="center"/>
    </xf>
    <xf numFmtId="0" fontId="6" fillId="3" borderId="5" xfId="0" applyFont="1" applyFill="1" applyBorder="1" applyAlignment="1">
      <alignment horizontal="center"/>
    </xf>
    <xf numFmtId="0" fontId="0" fillId="3" borderId="5" xfId="0" applyFill="1" applyBorder="1" applyAlignment="1">
      <alignment horizontal="center"/>
    </xf>
    <xf numFmtId="11" fontId="0" fillId="3" borderId="5" xfId="0" applyNumberFormat="1" applyFill="1" applyBorder="1" applyAlignment="1">
      <alignment horizontal="center"/>
    </xf>
    <xf numFmtId="2" fontId="6" fillId="3" borderId="5" xfId="0" applyNumberFormat="1" applyFont="1" applyFill="1" applyBorder="1" applyAlignment="1">
      <alignment horizontal="center"/>
    </xf>
    <xf numFmtId="11" fontId="6" fillId="3" borderId="5" xfId="0" applyNumberFormat="1" applyFont="1" applyFill="1" applyBorder="1" applyAlignment="1">
      <alignment horizontal="center"/>
    </xf>
    <xf numFmtId="166" fontId="6" fillId="3" borderId="5" xfId="0" applyNumberFormat="1" applyFont="1" applyFill="1" applyBorder="1" applyAlignment="1">
      <alignment horizontal="center"/>
    </xf>
    <xf numFmtId="164" fontId="6" fillId="3" borderId="5" xfId="0" applyNumberFormat="1" applyFont="1" applyFill="1" applyBorder="1" applyAlignment="1">
      <alignment horizontal="center"/>
    </xf>
    <xf numFmtId="0" fontId="0" fillId="3" borderId="6" xfId="0" applyFill="1" applyBorder="1" applyAlignment="1">
      <alignment horizontal="center"/>
    </xf>
    <xf numFmtId="0" fontId="8" fillId="3" borderId="9" xfId="0" applyFont="1" applyFill="1" applyBorder="1" applyAlignment="1">
      <alignment horizontal="center" wrapText="1"/>
    </xf>
    <xf numFmtId="14" fontId="8" fillId="3" borderId="8" xfId="0" applyNumberFormat="1" applyFont="1" applyFill="1" applyBorder="1" applyAlignment="1">
      <alignment horizontal="center" wrapText="1"/>
    </xf>
    <xf numFmtId="169" fontId="8" fillId="3" borderId="8" xfId="0" applyNumberFormat="1" applyFont="1" applyFill="1" applyBorder="1" applyAlignment="1">
      <alignment horizontal="center" wrapText="1"/>
    </xf>
    <xf numFmtId="0" fontId="8" fillId="3" borderId="8" xfId="0" applyFont="1" applyFill="1" applyBorder="1" applyAlignment="1">
      <alignment horizontal="center" wrapText="1"/>
    </xf>
    <xf numFmtId="11" fontId="8" fillId="3" borderId="8" xfId="0" applyNumberFormat="1" applyFont="1" applyFill="1" applyBorder="1" applyAlignment="1">
      <alignment horizontal="center" wrapText="1"/>
    </xf>
    <xf numFmtId="0" fontId="8" fillId="3" borderId="10" xfId="0" applyFont="1" applyFill="1" applyBorder="1" applyAlignment="1">
      <alignment horizontal="center" wrapText="1"/>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14"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14" fillId="3" borderId="0" xfId="1" applyFont="1" applyFill="1"/>
    <xf numFmtId="0" fontId="12" fillId="3" borderId="0" xfId="0" applyFont="1" applyFill="1" applyBorder="1" applyAlignment="1">
      <alignment horizontal="left"/>
    </xf>
    <xf numFmtId="0" fontId="12" fillId="3" borderId="0" xfId="0" applyNumberFormat="1" applyFont="1" applyFill="1" applyBorder="1" applyAlignment="1">
      <alignment horizontal="left"/>
    </xf>
    <xf numFmtId="16" fontId="12" fillId="3" borderId="0" xfId="0" applyNumberFormat="1" applyFont="1" applyFill="1" applyBorder="1" applyAlignment="1">
      <alignment horizontal="left"/>
    </xf>
    <xf numFmtId="0" fontId="12" fillId="3" borderId="0" xfId="0" applyFont="1" applyFill="1" applyAlignment="1">
      <alignment horizontal="left"/>
    </xf>
    <xf numFmtId="0" fontId="12" fillId="3" borderId="0" xfId="0" applyNumberFormat="1" applyFont="1" applyFill="1" applyBorder="1" applyAlignment="1">
      <alignment horizontal="center" wrapText="1"/>
    </xf>
    <xf numFmtId="0" fontId="12" fillId="3" borderId="0" xfId="0" applyNumberFormat="1" applyFont="1" applyFill="1" applyBorder="1" applyAlignment="1" applyProtection="1">
      <alignment horizontal="center"/>
      <protection locked="0"/>
    </xf>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2" fillId="3" borderId="8" xfId="0" applyFont="1" applyFill="1" applyBorder="1" applyAlignment="1">
      <alignment horizontal="center"/>
    </xf>
    <xf numFmtId="0" fontId="11" fillId="3" borderId="8" xfId="0" applyFont="1" applyFill="1" applyBorder="1"/>
    <xf numFmtId="0" fontId="3" fillId="3" borderId="1" xfId="0" applyFont="1" applyFill="1" applyBorder="1"/>
    <xf numFmtId="0" fontId="2" fillId="3" borderId="1" xfId="0" applyFont="1" applyFill="1" applyBorder="1"/>
    <xf numFmtId="0" fontId="2" fillId="3" borderId="1" xfId="0" applyFont="1" applyFill="1" applyBorder="1" applyAlignment="1"/>
    <xf numFmtId="0" fontId="0" fillId="3" borderId="4" xfId="0" applyNumberFormat="1" applyFont="1" applyFill="1" applyBorder="1" applyAlignment="1" applyProtection="1">
      <alignment horizontal="center"/>
      <protection locked="0"/>
    </xf>
    <xf numFmtId="11" fontId="12" fillId="3" borderId="0" xfId="0" applyNumberFormat="1" applyFont="1" applyFill="1" applyAlignment="1">
      <alignment horizontal="center"/>
    </xf>
    <xf numFmtId="16" fontId="20" fillId="0" borderId="2" xfId="0" applyNumberFormat="1" applyFont="1" applyBorder="1" applyAlignment="1" applyProtection="1">
      <alignment horizontal="center"/>
      <protection locked="0"/>
    </xf>
    <xf numFmtId="0" fontId="20" fillId="0" borderId="1" xfId="0" applyFont="1" applyBorder="1" applyAlignment="1" applyProtection="1">
      <alignment horizontal="center"/>
      <protection locked="0"/>
    </xf>
    <xf numFmtId="166" fontId="20" fillId="0" borderId="1" xfId="0" applyNumberFormat="1" applyFont="1" applyBorder="1" applyAlignment="1" applyProtection="1">
      <alignment horizontal="center"/>
      <protection locked="0"/>
    </xf>
    <xf numFmtId="0" fontId="20" fillId="0" borderId="3" xfId="0" applyFont="1" applyBorder="1" applyAlignment="1" applyProtection="1">
      <alignment horizontal="center"/>
      <protection locked="0"/>
    </xf>
    <xf numFmtId="2" fontId="20" fillId="0" borderId="4" xfId="0" applyNumberFormat="1" applyFont="1" applyBorder="1" applyAlignment="1" applyProtection="1">
      <alignment horizontal="center"/>
      <protection locked="0"/>
    </xf>
    <xf numFmtId="167" fontId="20" fillId="0" borderId="5" xfId="0" applyNumberFormat="1" applyFont="1" applyBorder="1" applyAlignment="1" applyProtection="1">
      <alignment horizontal="center"/>
      <protection locked="0"/>
    </xf>
    <xf numFmtId="21" fontId="3" fillId="0" borderId="5" xfId="0" applyNumberFormat="1" applyFont="1" applyBorder="1" applyAlignment="1" applyProtection="1">
      <alignment horizontal="center"/>
    </xf>
    <xf numFmtId="0" fontId="3" fillId="3" borderId="4" xfId="0" applyFont="1" applyFill="1" applyBorder="1" applyAlignment="1" applyProtection="1">
      <alignment horizontal="center" wrapText="1"/>
    </xf>
    <xf numFmtId="0" fontId="3" fillId="3" borderId="5" xfId="0" applyFont="1" applyFill="1" applyBorder="1" applyAlignment="1" applyProtection="1">
      <alignment horizontal="center" wrapText="1"/>
    </xf>
    <xf numFmtId="0" fontId="3" fillId="3" borderId="6" xfId="0" applyFont="1" applyFill="1" applyBorder="1" applyAlignment="1" applyProtection="1">
      <alignment horizontal="center" wrapText="1"/>
    </xf>
    <xf numFmtId="2" fontId="3" fillId="0" borderId="4" xfId="0" applyNumberFormat="1" applyFont="1" applyBorder="1" applyAlignment="1" applyProtection="1">
      <alignment horizontal="center"/>
    </xf>
    <xf numFmtId="166" fontId="3" fillId="0" borderId="5" xfId="0" applyNumberFormat="1" applyFont="1" applyBorder="1" applyAlignment="1" applyProtection="1">
      <alignment horizontal="center"/>
    </xf>
    <xf numFmtId="2" fontId="3" fillId="0" borderId="5" xfId="0" applyNumberFormat="1" applyFont="1" applyBorder="1" applyAlignment="1" applyProtection="1">
      <alignment horizontal="center" wrapText="1"/>
    </xf>
    <xf numFmtId="167" fontId="3" fillId="0" borderId="5" xfId="0" applyNumberFormat="1" applyFont="1" applyBorder="1" applyAlignment="1" applyProtection="1">
      <alignment horizontal="center"/>
    </xf>
    <xf numFmtId="0" fontId="3" fillId="2" borderId="0" xfId="0" applyFont="1" applyFill="1" applyBorder="1" applyProtection="1"/>
    <xf numFmtId="0" fontId="3" fillId="2" borderId="0" xfId="0" applyFont="1" applyFill="1" applyBorder="1" applyAlignment="1" applyProtection="1">
      <alignment horizontal="left"/>
    </xf>
    <xf numFmtId="0" fontId="3" fillId="0" borderId="0" xfId="0" applyFont="1" applyBorder="1"/>
    <xf numFmtId="0" fontId="2" fillId="3" borderId="7" xfId="0" applyFont="1" applyFill="1" applyBorder="1"/>
    <xf numFmtId="0" fontId="2" fillId="3" borderId="8" xfId="0" applyFont="1" applyFill="1" applyBorder="1"/>
    <xf numFmtId="49" fontId="2" fillId="0" borderId="0" xfId="0" applyNumberFormat="1" applyFont="1" applyBorder="1" applyAlignment="1" applyProtection="1">
      <alignment horizontal="left"/>
    </xf>
    <xf numFmtId="0" fontId="0" fillId="3" borderId="0" xfId="0" applyFill="1" applyBorder="1" applyAlignment="1" applyProtection="1">
      <alignment horizontal="left"/>
    </xf>
    <xf numFmtId="0" fontId="0" fillId="3" borderId="0" xfId="0" applyFill="1" applyBorder="1" applyAlignment="1">
      <alignment horizontal="left"/>
    </xf>
    <xf numFmtId="0" fontId="0" fillId="3" borderId="0" xfId="0" applyFill="1" applyAlignment="1">
      <alignment horizontal="left"/>
    </xf>
    <xf numFmtId="0" fontId="26" fillId="0" borderId="0" xfId="0" applyFont="1"/>
    <xf numFmtId="0" fontId="27" fillId="3" borderId="8" xfId="0" applyFont="1" applyFill="1" applyBorder="1"/>
    <xf numFmtId="16" fontId="3" fillId="3" borderId="5" xfId="0" applyNumberFormat="1" applyFont="1" applyFill="1" applyBorder="1" applyAlignment="1" applyProtection="1">
      <alignment horizontal="center" wrapText="1"/>
    </xf>
    <xf numFmtId="16" fontId="3" fillId="3" borderId="10" xfId="0" applyNumberFormat="1" applyFont="1" applyFill="1" applyBorder="1" applyAlignment="1" applyProtection="1">
      <alignment horizontal="center" wrapText="1"/>
    </xf>
    <xf numFmtId="14" fontId="3" fillId="0" borderId="5" xfId="0" applyNumberFormat="1" applyFont="1" applyBorder="1" applyAlignment="1" applyProtection="1">
      <alignment horizontal="center"/>
    </xf>
    <xf numFmtId="11" fontId="2" fillId="3" borderId="7" xfId="0" applyNumberFormat="1" applyFont="1" applyFill="1" applyBorder="1" applyAlignment="1" applyProtection="1">
      <alignment horizontal="center"/>
      <protection locked="0"/>
    </xf>
    <xf numFmtId="164" fontId="2" fillId="3" borderId="7" xfId="0" applyNumberFormat="1"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9" fontId="2" fillId="3" borderId="7" xfId="0" applyNumberFormat="1" applyFont="1" applyFill="1" applyBorder="1" applyAlignment="1" applyProtection="1">
      <alignment horizontal="center"/>
      <protection locked="0"/>
    </xf>
    <xf numFmtId="0" fontId="27" fillId="3" borderId="7" xfId="0" applyFont="1" applyFill="1" applyBorder="1" applyProtection="1">
      <protection locked="0"/>
    </xf>
    <xf numFmtId="0" fontId="27" fillId="3" borderId="11" xfId="0" applyFont="1" applyFill="1" applyBorder="1" applyProtection="1">
      <protection locked="0"/>
    </xf>
    <xf numFmtId="0" fontId="27" fillId="3" borderId="15" xfId="0" applyFont="1" applyFill="1" applyBorder="1" applyProtection="1">
      <protection locked="0"/>
    </xf>
    <xf numFmtId="165" fontId="1" fillId="3" borderId="0" xfId="0" applyNumberFormat="1" applyFont="1" applyFill="1" applyBorder="1" applyAlignment="1"/>
    <xf numFmtId="165" fontId="1" fillId="3" borderId="7" xfId="0" applyNumberFormat="1" applyFont="1" applyFill="1" applyBorder="1" applyAlignment="1">
      <alignment horizontal="center"/>
    </xf>
    <xf numFmtId="164" fontId="2" fillId="3" borderId="7" xfId="0" applyNumberFormat="1" applyFont="1" applyFill="1" applyBorder="1" applyAlignment="1" applyProtection="1">
      <alignment horizontal="center"/>
    </xf>
    <xf numFmtId="11" fontId="0" fillId="3" borderId="5" xfId="0" applyNumberFormat="1" applyFont="1" applyFill="1" applyBorder="1" applyAlignment="1">
      <alignment horizontal="center"/>
    </xf>
    <xf numFmtId="1" fontId="20" fillId="0" borderId="5" xfId="0" applyNumberFormat="1" applyFont="1" applyBorder="1" applyAlignment="1" applyProtection="1">
      <alignment horizontal="center"/>
      <protection locked="0"/>
    </xf>
    <xf numFmtId="2" fontId="2" fillId="3" borderId="0" xfId="0" applyNumberFormat="1" applyFont="1" applyFill="1" applyBorder="1"/>
    <xf numFmtId="0" fontId="3" fillId="3" borderId="5" xfId="0" applyFont="1" applyFill="1" applyBorder="1" applyAlignment="1">
      <alignment horizontal="center" wrapText="1"/>
    </xf>
    <xf numFmtId="0" fontId="3" fillId="0" borderId="5" xfId="0" applyFont="1" applyBorder="1" applyAlignment="1" applyProtection="1">
      <alignment horizontal="center"/>
    </xf>
    <xf numFmtId="168" fontId="3" fillId="0" borderId="5" xfId="0" applyNumberFormat="1" applyFont="1" applyBorder="1" applyAlignment="1">
      <alignment horizontal="center"/>
    </xf>
    <xf numFmtId="0" fontId="2" fillId="4" borderId="6" xfId="0" applyFont="1" applyFill="1" applyBorder="1" applyAlignment="1">
      <alignment horizontal="center" wrapText="1"/>
    </xf>
    <xf numFmtId="0" fontId="0" fillId="3" borderId="7" xfId="0" applyFont="1" applyFill="1" applyBorder="1" applyAlignment="1">
      <alignment horizontal="left"/>
    </xf>
    <xf numFmtId="0" fontId="0" fillId="3" borderId="7" xfId="0" applyFont="1" applyFill="1" applyBorder="1" applyAlignment="1" applyProtection="1">
      <alignment horizontal="left"/>
      <protection locked="0"/>
    </xf>
    <xf numFmtId="168" fontId="2" fillId="3" borderId="0" xfId="0" applyNumberFormat="1" applyFont="1" applyFill="1" applyBorder="1" applyAlignment="1">
      <alignment horizontal="center"/>
    </xf>
    <xf numFmtId="22" fontId="2" fillId="3" borderId="0" xfId="0" applyNumberFormat="1" applyFont="1" applyFill="1" applyBorder="1" applyAlignment="1">
      <alignment horizontal="center"/>
    </xf>
    <xf numFmtId="168" fontId="0" fillId="3" borderId="5" xfId="0" applyNumberFormat="1" applyFill="1" applyBorder="1" applyAlignment="1">
      <alignment horizontal="center"/>
    </xf>
    <xf numFmtId="0" fontId="8" fillId="3" borderId="0" xfId="0" applyFont="1" applyFill="1" applyAlignment="1">
      <alignment horizontal="center" wrapText="1"/>
    </xf>
    <xf numFmtId="14" fontId="0" fillId="0" borderId="0" xfId="0" applyNumberFormat="1"/>
    <xf numFmtId="0" fontId="0" fillId="0" borderId="0" xfId="0" applyNumberFormat="1"/>
    <xf numFmtId="0" fontId="2" fillId="0" borderId="1" xfId="0" applyNumberFormat="1" applyFont="1" applyBorder="1" applyAlignment="1">
      <alignment horizontal="center" vertical="center" wrapText="1"/>
    </xf>
    <xf numFmtId="11" fontId="3" fillId="0" borderId="5" xfId="0" applyNumberFormat="1" applyFont="1" applyBorder="1" applyAlignment="1" applyProtection="1">
      <alignment horizontal="center"/>
    </xf>
    <xf numFmtId="0" fontId="32" fillId="0" borderId="0" xfId="0" applyFont="1" applyProtection="1"/>
    <xf numFmtId="0" fontId="31" fillId="0" borderId="0" xfId="0" applyFont="1" applyAlignment="1" applyProtection="1">
      <alignment vertical="center"/>
    </xf>
    <xf numFmtId="0" fontId="32" fillId="0" borderId="0" xfId="0" applyFont="1" applyAlignment="1" applyProtection="1">
      <alignment vertical="center"/>
    </xf>
    <xf numFmtId="0" fontId="31" fillId="0" borderId="7" xfId="0" applyFont="1" applyBorder="1" applyAlignment="1" applyProtection="1">
      <alignment horizontal="center" vertical="center"/>
    </xf>
    <xf numFmtId="0" fontId="32" fillId="0" borderId="7" xfId="0" applyFont="1" applyBorder="1" applyAlignment="1" applyProtection="1">
      <alignment vertical="center"/>
    </xf>
    <xf numFmtId="0" fontId="33" fillId="0" borderId="7" xfId="0" applyFont="1" applyBorder="1" applyAlignment="1" applyProtection="1">
      <alignment horizontal="center" vertical="center"/>
    </xf>
    <xf numFmtId="0" fontId="32" fillId="0" borderId="7" xfId="0" applyFont="1" applyBorder="1" applyAlignment="1" applyProtection="1">
      <alignment horizontal="center" vertical="center"/>
    </xf>
    <xf numFmtId="0" fontId="37" fillId="0" borderId="7" xfId="0" applyFont="1" applyBorder="1" applyAlignment="1" applyProtection="1">
      <alignment vertical="center"/>
    </xf>
    <xf numFmtId="0" fontId="34" fillId="0" borderId="7" xfId="0" applyFont="1" applyBorder="1" applyAlignment="1" applyProtection="1">
      <alignment horizontal="center" vertical="center"/>
    </xf>
    <xf numFmtId="0" fontId="32" fillId="0" borderId="7" xfId="0" applyFont="1" applyBorder="1" applyAlignment="1" applyProtection="1">
      <alignment horizontal="left" vertical="center"/>
    </xf>
    <xf numFmtId="0" fontId="32" fillId="0" borderId="7" xfId="0" quotePrefix="1" applyFont="1" applyBorder="1" applyAlignment="1" applyProtection="1">
      <alignment horizontal="center" vertical="center"/>
    </xf>
    <xf numFmtId="0" fontId="35" fillId="0" borderId="7" xfId="0" applyFont="1" applyBorder="1" applyAlignment="1" applyProtection="1">
      <alignment horizontal="center" vertical="center"/>
    </xf>
    <xf numFmtId="0" fontId="32" fillId="0" borderId="0" xfId="0" applyFont="1" applyAlignment="1" applyProtection="1">
      <alignment horizontal="right"/>
    </xf>
    <xf numFmtId="0" fontId="32" fillId="0" borderId="0" xfId="0" applyFont="1" applyBorder="1" applyProtection="1"/>
    <xf numFmtId="0" fontId="32" fillId="0" borderId="0" xfId="0" applyFont="1" applyAlignment="1" applyProtection="1">
      <alignment horizontal="right" vertical="center"/>
    </xf>
    <xf numFmtId="0" fontId="5" fillId="0" borderId="7" xfId="0" applyFont="1" applyBorder="1" applyAlignment="1" applyProtection="1">
      <alignment horizontal="center" vertical="top"/>
    </xf>
    <xf numFmtId="0" fontId="32" fillId="0" borderId="7" xfId="0" applyFont="1" applyBorder="1" applyAlignment="1" applyProtection="1">
      <alignment horizontal="center"/>
    </xf>
    <xf numFmtId="2" fontId="0" fillId="3" borderId="5" xfId="0" applyNumberFormat="1" applyFont="1" applyFill="1" applyBorder="1" applyAlignment="1" applyProtection="1">
      <alignment horizontal="center"/>
    </xf>
    <xf numFmtId="0" fontId="32" fillId="0" borderId="7" xfId="0" applyFont="1" applyBorder="1" applyAlignment="1" applyProtection="1">
      <alignment horizontal="center" vertical="center"/>
    </xf>
    <xf numFmtId="0" fontId="32" fillId="0" borderId="0" xfId="0" applyFont="1" applyAlignment="1" applyProtection="1">
      <alignment vertical="center"/>
    </xf>
    <xf numFmtId="0" fontId="41" fillId="2" borderId="6" xfId="0" applyFont="1" applyFill="1" applyBorder="1" applyAlignment="1" applyProtection="1">
      <alignment horizontal="center"/>
      <protection locked="0"/>
    </xf>
    <xf numFmtId="0" fontId="0" fillId="3" borderId="0" xfId="0" applyFont="1" applyFill="1" applyBorder="1" applyAlignment="1" applyProtection="1">
      <alignment horizontal="left"/>
      <protection locked="0"/>
    </xf>
    <xf numFmtId="0" fontId="0" fillId="3" borderId="0" xfId="0" quotePrefix="1" applyFont="1" applyFill="1" applyAlignment="1">
      <alignment horizontal="center"/>
    </xf>
    <xf numFmtId="165" fontId="0" fillId="3" borderId="5" xfId="0" applyNumberFormat="1" applyFont="1" applyFill="1" applyBorder="1" applyAlignment="1">
      <alignment horizontal="center"/>
    </xf>
    <xf numFmtId="0" fontId="2" fillId="3" borderId="7" xfId="0" applyFont="1" applyFill="1" applyBorder="1" applyAlignment="1" applyProtection="1">
      <alignment horizontal="center" wrapText="1"/>
      <protection locked="0"/>
    </xf>
    <xf numFmtId="11" fontId="0" fillId="0" borderId="0" xfId="0" applyNumberFormat="1" applyAlignment="1">
      <alignment horizontal="center"/>
    </xf>
    <xf numFmtId="166" fontId="0" fillId="0" borderId="0" xfId="0" applyNumberFormat="1" applyAlignment="1">
      <alignment horizontal="center"/>
    </xf>
    <xf numFmtId="165" fontId="0" fillId="0" borderId="0" xfId="0" applyNumberFormat="1" applyAlignment="1">
      <alignment horizontal="center"/>
    </xf>
    <xf numFmtId="2" fontId="0" fillId="0" borderId="0" xfId="0" applyNumberFormat="1" applyAlignment="1">
      <alignment horizontal="center"/>
    </xf>
    <xf numFmtId="0" fontId="2" fillId="4" borderId="4" xfId="0" applyFont="1" applyFill="1" applyBorder="1" applyAlignment="1" applyProtection="1">
      <alignment horizontal="center" wrapText="1"/>
    </xf>
    <xf numFmtId="0" fontId="2" fillId="4" borderId="10" xfId="0" applyFont="1" applyFill="1" applyBorder="1" applyAlignment="1">
      <alignment horizontal="center" wrapText="1"/>
    </xf>
    <xf numFmtId="0" fontId="0" fillId="3" borderId="7" xfId="0" applyFont="1" applyFill="1" applyBorder="1" applyAlignment="1" applyProtection="1">
      <alignment horizontal="center"/>
      <protection locked="0"/>
    </xf>
    <xf numFmtId="0" fontId="0" fillId="2" borderId="0" xfId="0" applyFill="1"/>
    <xf numFmtId="0" fontId="3" fillId="2" borderId="0" xfId="0" applyFont="1" applyFill="1"/>
    <xf numFmtId="0" fontId="2" fillId="2" borderId="0" xfId="0" applyFont="1" applyFill="1"/>
    <xf numFmtId="0" fontId="2" fillId="2" borderId="0" xfId="0" applyFont="1" applyFill="1" applyBorder="1" applyAlignment="1">
      <alignment horizontal="center"/>
    </xf>
    <xf numFmtId="0" fontId="43" fillId="2" borderId="0" xfId="0" applyFont="1" applyFill="1" applyBorder="1" applyAlignment="1">
      <alignment vertical="center"/>
    </xf>
    <xf numFmtId="0" fontId="0" fillId="2" borderId="0" xfId="0" applyFill="1" applyBorder="1"/>
    <xf numFmtId="0" fontId="2" fillId="2" borderId="0" xfId="0" applyNumberFormat="1" applyFont="1" applyFill="1" applyBorder="1" applyAlignment="1" applyProtection="1">
      <alignment horizontal="left"/>
    </xf>
    <xf numFmtId="0" fontId="2" fillId="3" borderId="4" xfId="0" applyFont="1" applyFill="1" applyBorder="1" applyAlignment="1" applyProtection="1">
      <alignment horizontal="center" wrapText="1"/>
    </xf>
    <xf numFmtId="0" fontId="2" fillId="3" borderId="5" xfId="0" applyFont="1" applyFill="1" applyBorder="1" applyAlignment="1" applyProtection="1">
      <alignment horizontal="center" wrapText="1"/>
    </xf>
    <xf numFmtId="0" fontId="2" fillId="3" borderId="5" xfId="0" applyFont="1" applyFill="1" applyBorder="1" applyAlignment="1">
      <alignment horizontal="center" wrapText="1"/>
    </xf>
    <xf numFmtId="2" fontId="2" fillId="0" borderId="4" xfId="0" applyNumberFormat="1" applyFont="1" applyBorder="1" applyAlignment="1" applyProtection="1">
      <alignment horizontal="center"/>
    </xf>
    <xf numFmtId="166" fontId="2" fillId="0" borderId="5" xfId="0" applyNumberFormat="1" applyFont="1" applyBorder="1" applyAlignment="1" applyProtection="1">
      <alignment horizontal="center"/>
    </xf>
    <xf numFmtId="2" fontId="2" fillId="0" borderId="5" xfId="0" applyNumberFormat="1" applyFont="1" applyBorder="1" applyAlignment="1" applyProtection="1">
      <alignment horizontal="center" wrapText="1"/>
    </xf>
    <xf numFmtId="11" fontId="2" fillId="0" borderId="5" xfId="0" applyNumberFormat="1" applyFont="1" applyBorder="1" applyAlignment="1" applyProtection="1">
      <alignment horizontal="center"/>
    </xf>
    <xf numFmtId="168" fontId="2" fillId="0" borderId="5" xfId="0" applyNumberFormat="1" applyFont="1" applyBorder="1" applyAlignment="1">
      <alignment horizontal="center"/>
    </xf>
    <xf numFmtId="0" fontId="2" fillId="3" borderId="12" xfId="0" applyFont="1" applyFill="1" applyBorder="1" applyAlignment="1" applyProtection="1">
      <alignment horizontal="center" wrapText="1"/>
    </xf>
    <xf numFmtId="0" fontId="0" fillId="2" borderId="1" xfId="0" applyFill="1" applyBorder="1"/>
    <xf numFmtId="0" fontId="3" fillId="3" borderId="0" xfId="0" applyFont="1" applyFill="1" applyProtection="1"/>
    <xf numFmtId="0" fontId="0" fillId="3" borderId="0" xfId="0" applyFill="1" applyProtection="1"/>
    <xf numFmtId="0" fontId="2" fillId="4" borderId="7" xfId="0" applyFont="1" applyFill="1" applyBorder="1" applyAlignment="1" applyProtection="1">
      <alignment horizontal="center"/>
    </xf>
    <xf numFmtId="9" fontId="2" fillId="4" borderId="7" xfId="2" applyFont="1" applyFill="1" applyBorder="1" applyAlignment="1" applyProtection="1">
      <alignment horizontal="center"/>
    </xf>
    <xf numFmtId="0" fontId="0" fillId="3" borderId="0" xfId="0" applyFill="1" applyBorder="1" applyProtection="1"/>
    <xf numFmtId="0" fontId="0" fillId="3" borderId="7" xfId="0" applyFill="1" applyBorder="1" applyProtection="1"/>
    <xf numFmtId="0" fontId="2" fillId="4" borderId="7" xfId="0" applyFont="1" applyFill="1" applyBorder="1" applyAlignment="1" applyProtection="1">
      <alignment horizontal="center" wrapText="1"/>
    </xf>
    <xf numFmtId="0" fontId="0" fillId="3" borderId="7" xfId="0" applyFill="1" applyBorder="1" applyAlignment="1" applyProtection="1">
      <alignment horizontal="center"/>
      <protection locked="0"/>
    </xf>
    <xf numFmtId="11" fontId="0" fillId="3" borderId="7" xfId="0" applyNumberFormat="1" applyFill="1" applyBorder="1" applyAlignment="1" applyProtection="1">
      <alignment horizontal="center"/>
      <protection locked="0"/>
    </xf>
    <xf numFmtId="9" fontId="0" fillId="3" borderId="7" xfId="0" applyNumberFormat="1" applyFill="1" applyBorder="1" applyAlignment="1" applyProtection="1">
      <alignment horizontal="center"/>
      <protection locked="0"/>
    </xf>
    <xf numFmtId="0" fontId="8" fillId="3" borderId="0" xfId="0" applyFont="1" applyFill="1" applyBorder="1"/>
    <xf numFmtId="0" fontId="0" fillId="3" borderId="7" xfId="0" applyFill="1" applyBorder="1" applyAlignment="1" applyProtection="1">
      <alignment horizontal="center"/>
    </xf>
    <xf numFmtId="11" fontId="0" fillId="3" borderId="7" xfId="0" applyNumberFormat="1" applyFill="1" applyBorder="1" applyAlignment="1" applyProtection="1">
      <alignment horizontal="center"/>
    </xf>
    <xf numFmtId="9" fontId="0" fillId="3" borderId="7" xfId="0" applyNumberFormat="1" applyFill="1" applyBorder="1" applyAlignment="1" applyProtection="1">
      <alignment horizontal="center"/>
    </xf>
    <xf numFmtId="1" fontId="0" fillId="3" borderId="0" xfId="0" applyNumberFormat="1" applyFont="1" applyFill="1" applyBorder="1" applyAlignment="1">
      <alignment horizontal="center"/>
    </xf>
    <xf numFmtId="0" fontId="27" fillId="2" borderId="7" xfId="0" applyFont="1" applyFill="1" applyBorder="1" applyAlignment="1" applyProtection="1">
      <alignment horizontal="center"/>
      <protection locked="0"/>
    </xf>
    <xf numFmtId="0" fontId="2" fillId="3" borderId="11" xfId="0" applyFont="1" applyFill="1" applyBorder="1" applyAlignment="1" applyProtection="1">
      <alignment horizontal="center"/>
      <protection locked="0"/>
    </xf>
    <xf numFmtId="0" fontId="43" fillId="2" borderId="7" xfId="0" applyFont="1" applyFill="1" applyBorder="1" applyAlignment="1">
      <alignment horizontal="center" vertical="center" wrapText="1"/>
    </xf>
    <xf numFmtId="0" fontId="15" fillId="0" borderId="9" xfId="0" applyFont="1" applyBorder="1" applyAlignment="1">
      <alignment horizontal="center" vertical="center"/>
    </xf>
    <xf numFmtId="0" fontId="15" fillId="0" borderId="8" xfId="0" applyFont="1" applyBorder="1" applyAlignment="1">
      <alignment horizontal="center" vertical="center"/>
    </xf>
    <xf numFmtId="0" fontId="15" fillId="0" borderId="10" xfId="0" applyFont="1" applyBorder="1" applyAlignment="1">
      <alignment horizontal="center" vertical="center"/>
    </xf>
    <xf numFmtId="0" fontId="15" fillId="0" borderId="2" xfId="0" applyFont="1" applyBorder="1" applyAlignment="1">
      <alignment horizontal="center" vertical="center"/>
    </xf>
    <xf numFmtId="0" fontId="15" fillId="0" borderId="1" xfId="0" applyFont="1" applyBorder="1" applyAlignment="1">
      <alignment horizontal="center" vertical="center"/>
    </xf>
    <xf numFmtId="0" fontId="15" fillId="0" borderId="3" xfId="0" applyFont="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26" fillId="0" borderId="13" xfId="0" applyFont="1" applyBorder="1" applyAlignment="1">
      <alignment horizontal="center" wrapText="1"/>
    </xf>
    <xf numFmtId="0" fontId="26" fillId="0" borderId="0" xfId="0" applyFont="1" applyBorder="1" applyAlignment="1">
      <alignment horizontal="center" wrapText="1"/>
    </xf>
    <xf numFmtId="0" fontId="30" fillId="0" borderId="9"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3"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0" fillId="3" borderId="0" xfId="0" applyFont="1" applyFill="1" applyAlignment="1">
      <alignment horizontal="left"/>
    </xf>
    <xf numFmtId="0" fontId="2" fillId="3" borderId="7" xfId="0" applyFont="1" applyFill="1" applyBorder="1" applyProtection="1"/>
    <xf numFmtId="0" fontId="2" fillId="3" borderId="4" xfId="0" applyFont="1" applyFill="1" applyBorder="1"/>
    <xf numFmtId="0" fontId="2" fillId="3" borderId="5" xfId="0" applyFont="1" applyFill="1" applyBorder="1"/>
    <xf numFmtId="0" fontId="2" fillId="3" borderId="6" xfId="0" applyFont="1" applyFill="1" applyBorder="1"/>
    <xf numFmtId="0" fontId="2" fillId="3" borderId="7" xfId="0" applyFont="1" applyFill="1" applyBorder="1"/>
    <xf numFmtId="0" fontId="2" fillId="3" borderId="7" xfId="0" applyFont="1" applyFill="1" applyBorder="1" applyProtection="1">
      <protection locked="0"/>
    </xf>
    <xf numFmtId="0" fontId="2" fillId="3" borderId="11" xfId="0" applyFont="1" applyFill="1" applyBorder="1"/>
    <xf numFmtId="0" fontId="2" fillId="3" borderId="8" xfId="0" applyFont="1" applyFill="1" applyBorder="1"/>
    <xf numFmtId="0" fontId="2" fillId="3" borderId="15" xfId="0" applyFont="1" applyFill="1" applyBorder="1"/>
    <xf numFmtId="2" fontId="32" fillId="0" borderId="4" xfId="0" applyNumberFormat="1" applyFont="1" applyBorder="1" applyAlignment="1" applyProtection="1">
      <alignment horizontal="center" vertical="center"/>
    </xf>
    <xf numFmtId="2" fontId="32" fillId="0" borderId="6" xfId="0" applyNumberFormat="1" applyFont="1" applyBorder="1" applyAlignment="1" applyProtection="1">
      <alignment horizontal="center" vertical="center"/>
    </xf>
    <xf numFmtId="0" fontId="37" fillId="0" borderId="4" xfId="0" applyFont="1" applyBorder="1" applyAlignment="1" applyProtection="1">
      <alignment vertical="center"/>
    </xf>
    <xf numFmtId="0" fontId="37" fillId="0" borderId="6" xfId="0" applyFont="1" applyBorder="1" applyAlignment="1" applyProtection="1">
      <alignment vertical="center"/>
    </xf>
    <xf numFmtId="0" fontId="32" fillId="0" borderId="7" xfId="0" applyFont="1" applyBorder="1" applyAlignment="1" applyProtection="1">
      <alignment horizontal="center"/>
      <protection locked="0"/>
    </xf>
    <xf numFmtId="0" fontId="32" fillId="0" borderId="4" xfId="0" applyFont="1" applyBorder="1" applyAlignment="1" applyProtection="1">
      <alignment vertical="center"/>
    </xf>
    <xf numFmtId="0" fontId="32" fillId="0" borderId="6" xfId="0" applyFont="1" applyBorder="1" applyAlignment="1" applyProtection="1">
      <alignment vertical="center"/>
    </xf>
    <xf numFmtId="0" fontId="32" fillId="0" borderId="7" xfId="0" quotePrefix="1" applyFont="1" applyBorder="1" applyAlignment="1" applyProtection="1">
      <alignment horizontal="center" vertical="center"/>
    </xf>
    <xf numFmtId="0" fontId="32" fillId="0" borderId="7" xfId="0" applyFont="1" applyBorder="1" applyAlignment="1" applyProtection="1">
      <alignment horizontal="center" vertical="center"/>
    </xf>
    <xf numFmtId="2" fontId="32" fillId="0" borderId="7" xfId="0" applyNumberFormat="1" applyFont="1" applyBorder="1" applyAlignment="1" applyProtection="1">
      <alignment horizontal="center" vertical="center"/>
    </xf>
    <xf numFmtId="0" fontId="5" fillId="0" borderId="4"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32" fillId="0" borderId="4" xfId="0" applyFont="1" applyBorder="1" applyAlignment="1" applyProtection="1">
      <alignment horizontal="center" vertical="center"/>
    </xf>
    <xf numFmtId="0" fontId="32" fillId="0" borderId="6" xfId="0" applyFont="1" applyBorder="1" applyAlignment="1" applyProtection="1">
      <alignment horizontal="center" vertical="center"/>
    </xf>
    <xf numFmtId="0" fontId="31" fillId="0" borderId="4" xfId="0" applyFont="1" applyBorder="1" applyAlignment="1" applyProtection="1">
      <alignment horizontal="center" vertical="center"/>
    </xf>
    <xf numFmtId="0" fontId="31" fillId="0" borderId="6" xfId="0" applyFont="1" applyBorder="1" applyAlignment="1" applyProtection="1">
      <alignment horizontal="center" vertical="center"/>
    </xf>
    <xf numFmtId="0" fontId="40" fillId="0" borderId="0" xfId="0" applyFont="1" applyAlignment="1" applyProtection="1">
      <alignment horizontal="center"/>
    </xf>
    <xf numFmtId="0" fontId="31" fillId="0" borderId="7" xfId="0" applyFont="1" applyBorder="1" applyAlignment="1" applyProtection="1">
      <alignment horizontal="center" vertical="center"/>
    </xf>
    <xf numFmtId="0" fontId="32" fillId="0" borderId="4" xfId="0" applyFont="1" applyBorder="1" applyAlignment="1" applyProtection="1">
      <alignment horizontal="center" vertical="center"/>
      <protection locked="0"/>
    </xf>
    <xf numFmtId="0" fontId="32" fillId="0" borderId="5" xfId="0" applyFont="1" applyBorder="1" applyAlignment="1" applyProtection="1">
      <alignment horizontal="center" vertical="center"/>
      <protection locked="0"/>
    </xf>
    <xf numFmtId="0" fontId="32" fillId="0" borderId="6" xfId="0" applyFont="1" applyBorder="1" applyAlignment="1" applyProtection="1">
      <alignment horizontal="center" vertical="center"/>
      <protection locked="0"/>
    </xf>
    <xf numFmtId="0" fontId="32" fillId="0" borderId="5" xfId="0" applyFont="1" applyBorder="1" applyAlignment="1" applyProtection="1">
      <alignment horizontal="center" vertical="center"/>
    </xf>
    <xf numFmtId="0" fontId="32" fillId="0" borderId="7" xfId="0" applyFont="1" applyBorder="1" applyAlignment="1" applyProtection="1">
      <alignment horizontal="center" vertical="center"/>
      <protection locked="0"/>
    </xf>
    <xf numFmtId="11" fontId="32" fillId="0" borderId="7" xfId="0" applyNumberFormat="1" applyFont="1" applyBorder="1" applyAlignment="1" applyProtection="1">
      <alignment horizontal="center" vertical="center"/>
    </xf>
    <xf numFmtId="0" fontId="32" fillId="0" borderId="0" xfId="0" applyFont="1" applyAlignment="1" applyProtection="1">
      <alignment vertical="center"/>
    </xf>
    <xf numFmtId="0" fontId="32" fillId="0" borderId="7" xfId="0" quotePrefix="1" applyFont="1" applyBorder="1" applyAlignment="1" applyProtection="1">
      <alignment horizontal="center" vertical="center"/>
      <protection locked="0"/>
    </xf>
  </cellXfs>
  <cellStyles count="3">
    <cellStyle name="Normal" xfId="0" builtinId="0"/>
    <cellStyle name="Normal_CommandLineGenerator" xfId="1"/>
    <cellStyle name="Percent" xfId="2" builtinId="5"/>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0D54B"/>
      <color rgb="FF2004EC"/>
      <color rgb="FF6D6D6D"/>
      <color rgb="FF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Inverse</a:t>
            </a:r>
            <a:r>
              <a:rPr lang="en-US" sz="1200" baseline="0">
                <a:latin typeface="Arial" pitchFamily="34" charset="0"/>
                <a:cs typeface="Arial" pitchFamily="34" charset="0"/>
              </a:rPr>
              <a:t> Lifetime (Corrected) vs. Carrier Density</a:t>
            </a:r>
          </a:p>
        </c:rich>
      </c:tx>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numCache>
            </c:numRef>
          </c:xVal>
          <c:yVal>
            <c:numRef>
              <c:f>Calc!$S$15:$S$130</c:f>
              <c:numCache>
                <c:formatCode>0</c:formatCode>
                <c:ptCount val="116"/>
                <c:pt idx="0">
                  <c:v>306188.92995005049</c:v>
                </c:pt>
                <c:pt idx="1">
                  <c:v>313615.34404286067</c:v>
                </c:pt>
                <c:pt idx="2">
                  <c:v>321565.67772996571</c:v>
                </c:pt>
                <c:pt idx="3">
                  <c:v>331080.0812768318</c:v>
                </c:pt>
                <c:pt idx="4">
                  <c:v>340293.01595642668</c:v>
                </c:pt>
                <c:pt idx="5">
                  <c:v>347654.41384639259</c:v>
                </c:pt>
                <c:pt idx="6">
                  <c:v>357286.0209815795</c:v>
                </c:pt>
                <c:pt idx="7">
                  <c:v>365439.73835087032</c:v>
                </c:pt>
                <c:pt idx="8">
                  <c:v>376060.32347413921</c:v>
                </c:pt>
                <c:pt idx="9">
                  <c:v>383697.54148827941</c:v>
                </c:pt>
                <c:pt idx="10">
                  <c:v>394650.95872678416</c:v>
                </c:pt>
                <c:pt idx="11">
                  <c:v>401957.59562387958</c:v>
                </c:pt>
                <c:pt idx="12">
                  <c:v>412425.85235884879</c:v>
                </c:pt>
                <c:pt idx="13">
                  <c:v>423087.56408582121</c:v>
                </c:pt>
                <c:pt idx="14">
                  <c:v>426889.98143353639</c:v>
                </c:pt>
                <c:pt idx="15">
                  <c:v>436347.97819264926</c:v>
                </c:pt>
                <c:pt idx="16">
                  <c:v>449887.24673740246</c:v>
                </c:pt>
                <c:pt idx="17">
                  <c:v>454148.1533335328</c:v>
                </c:pt>
                <c:pt idx="18">
                  <c:v>468376.42876632442</c:v>
                </c:pt>
                <c:pt idx="19">
                  <c:v>455911.12262532907</c:v>
                </c:pt>
                <c:pt idx="20">
                  <c:v>474986.17763560935</c:v>
                </c:pt>
                <c:pt idx="21">
                  <c:v>484503.6403075484</c:v>
                </c:pt>
                <c:pt idx="22">
                  <c:v>473087.28491373407</c:v>
                </c:pt>
                <c:pt idx="23">
                  <c:v>473251.53716280812</c:v>
                </c:pt>
                <c:pt idx="24">
                  <c:v>473083.35009425745</c:v>
                </c:pt>
                <c:pt idx="25">
                  <c:v>473161.38241363392</c:v>
                </c:pt>
                <c:pt idx="26">
                  <c:v>486345.502489076</c:v>
                </c:pt>
                <c:pt idx="27">
                  <c:v>461839.74601692671</c:v>
                </c:pt>
                <c:pt idx="28">
                  <c:v>430192.48676529177</c:v>
                </c:pt>
                <c:pt idx="29">
                  <c:v>457709.84187283978</c:v>
                </c:pt>
                <c:pt idx="30">
                  <c:v>461393.52660489042</c:v>
                </c:pt>
                <c:pt idx="31">
                  <c:v>421011.37862944516</c:v>
                </c:pt>
                <c:pt idx="32">
                  <c:v>550600.57882365026</c:v>
                </c:pt>
                <c:pt idx="33">
                  <c:v>494938.71883156954</c:v>
                </c:pt>
                <c:pt idx="34">
                  <c:v>453237.12317998323</c:v>
                </c:pt>
                <c:pt idx="35">
                  <c:v>423640.16136765538</c:v>
                </c:pt>
                <c:pt idx="36">
                  <c:v>421814.00365224195</c:v>
                </c:pt>
                <c:pt idx="37">
                  <c:v>460544.57096246316</c:v>
                </c:pt>
                <c:pt idx="38">
                  <c:v>456916.43973793142</c:v>
                </c:pt>
                <c:pt idx="39">
                  <c:v>443033.83929289004</c:v>
                </c:pt>
                <c:pt idx="40">
                  <c:v>516569.46771561657</c:v>
                </c:pt>
                <c:pt idx="41">
                  <c:v>354901.45909938781</c:v>
                </c:pt>
                <c:pt idx="42">
                  <c:v>435296.41881281725</c:v>
                </c:pt>
                <c:pt idx="43">
                  <c:v>203503.86605386264</c:v>
                </c:pt>
                <c:pt idx="44">
                  <c:v>246507595388.80075</c:v>
                </c:pt>
                <c:pt idx="45">
                  <c:v>35724531032.11541</c:v>
                </c:pt>
                <c:pt idx="46">
                  <c:v>10059246460.05397</c:v>
                </c:pt>
                <c:pt idx="47">
                  <c:v>311524290.69666672</c:v>
                </c:pt>
                <c:pt idx="48">
                  <c:v>49376357333.678902</c:v>
                </c:pt>
                <c:pt idx="49">
                  <c:v>17158173233.03961</c:v>
                </c:pt>
                <c:pt idx="50">
                  <c:v>35178561047.276024</c:v>
                </c:pt>
                <c:pt idx="51">
                  <c:v>130740772562.53618</c:v>
                </c:pt>
                <c:pt idx="52">
                  <c:v>311524290.69666672</c:v>
                </c:pt>
                <c:pt idx="53">
                  <c:v>77771949906.484634</c:v>
                </c:pt>
                <c:pt idx="54">
                  <c:v>41731346056.717026</c:v>
                </c:pt>
                <c:pt idx="55">
                  <c:v>23710986872.26482</c:v>
                </c:pt>
                <c:pt idx="56">
                  <c:v>75587497371.442902</c:v>
                </c:pt>
                <c:pt idx="57">
                  <c:v>311524290.69666672</c:v>
                </c:pt>
                <c:pt idx="58">
                  <c:v>38454953551.996529</c:v>
                </c:pt>
                <c:pt idx="59">
                  <c:v>13335667594.558681</c:v>
                </c:pt>
                <c:pt idx="60">
                  <c:v>41185089774.035553</c:v>
                </c:pt>
                <c:pt idx="61">
                  <c:v>97430304934.807617</c:v>
                </c:pt>
                <c:pt idx="62">
                  <c:v>8967106081.8857346</c:v>
                </c:pt>
                <c:pt idx="63">
                  <c:v>311524290.69666672</c:v>
                </c:pt>
                <c:pt idx="64">
                  <c:v>311524290.69666672</c:v>
                </c:pt>
                <c:pt idx="65">
                  <c:v>311524290.69666672</c:v>
                </c:pt>
                <c:pt idx="66">
                  <c:v>311524290.69666672</c:v>
                </c:pt>
                <c:pt idx="67">
                  <c:v>311524290.69666672</c:v>
                </c:pt>
                <c:pt idx="68">
                  <c:v>311524290.69666672</c:v>
                </c:pt>
                <c:pt idx="69">
                  <c:v>311524290.69666672</c:v>
                </c:pt>
                <c:pt idx="70">
                  <c:v>311524290.69666672</c:v>
                </c:pt>
                <c:pt idx="71">
                  <c:v>311524290.69666672</c:v>
                </c:pt>
                <c:pt idx="72">
                  <c:v>311524290.69666672</c:v>
                </c:pt>
                <c:pt idx="73">
                  <c:v>103437119959.40923</c:v>
                </c:pt>
                <c:pt idx="74">
                  <c:v>71765134881.883011</c:v>
                </c:pt>
                <c:pt idx="75">
                  <c:v>19888509863.568096</c:v>
                </c:pt>
                <c:pt idx="76">
                  <c:v>311524290.69666672</c:v>
                </c:pt>
                <c:pt idx="77">
                  <c:v>311524290.69666672</c:v>
                </c:pt>
                <c:pt idx="78">
                  <c:v>53198719823.238777</c:v>
                </c:pt>
                <c:pt idx="79">
                  <c:v>311524290.69666672</c:v>
                </c:pt>
                <c:pt idx="80">
                  <c:v>311524290.69666672</c:v>
                </c:pt>
                <c:pt idx="81">
                  <c:v>311524290.69666672</c:v>
                </c:pt>
                <c:pt idx="82">
                  <c:v>311524290.69666672</c:v>
                </c:pt>
                <c:pt idx="83">
                  <c:v>176610553926.46527</c:v>
                </c:pt>
                <c:pt idx="84">
                  <c:v>311524290.69666672</c:v>
                </c:pt>
                <c:pt idx="85">
                  <c:v>311524290.69666672</c:v>
                </c:pt>
                <c:pt idx="86">
                  <c:v>70126938629.522766</c:v>
                </c:pt>
                <c:pt idx="87">
                  <c:v>26987408006.769527</c:v>
                </c:pt>
                <c:pt idx="88">
                  <c:v>311524290.69666672</c:v>
                </c:pt>
                <c:pt idx="89">
                  <c:v>71219164897.04361</c:v>
                </c:pt>
                <c:pt idx="90">
                  <c:v>31355912259.874065</c:v>
                </c:pt>
                <c:pt idx="91">
                  <c:v>6236769451.3572474</c:v>
                </c:pt>
                <c:pt idx="92">
                  <c:v>131832712532.21497</c:v>
                </c:pt>
                <c:pt idx="93">
                  <c:v>140569950076.69769</c:v>
                </c:pt>
                <c:pt idx="94">
                  <c:v>64666093589.760521</c:v>
                </c:pt>
                <c:pt idx="95">
                  <c:v>131832712532.21497</c:v>
                </c:pt>
                <c:pt idx="96">
                  <c:v>311524290.69666672</c:v>
                </c:pt>
                <c:pt idx="97">
                  <c:v>70672908614.362137</c:v>
                </c:pt>
                <c:pt idx="98">
                  <c:v>47738161081.318642</c:v>
                </c:pt>
                <c:pt idx="99">
                  <c:v>90331549940.527237</c:v>
                </c:pt>
                <c:pt idx="100">
                  <c:v>58113308580.31955</c:v>
                </c:pt>
                <c:pt idx="101">
                  <c:v>311524290.69666672</c:v>
                </c:pt>
                <c:pt idx="102">
                  <c:v>102345179989.73042</c:v>
                </c:pt>
                <c:pt idx="103">
                  <c:v>103437119959.40923</c:v>
                </c:pt>
                <c:pt idx="104">
                  <c:v>159682335120.1813</c:v>
                </c:pt>
                <c:pt idx="105">
                  <c:v>77225979921.645218</c:v>
                </c:pt>
                <c:pt idx="106">
                  <c:v>18796369485.399864</c:v>
                </c:pt>
                <c:pt idx="107">
                  <c:v>163504983907.58328</c:v>
                </c:pt>
                <c:pt idx="108">
                  <c:v>311524290.69666672</c:v>
                </c:pt>
                <c:pt idx="109">
                  <c:v>61389701085.040031</c:v>
                </c:pt>
                <c:pt idx="110">
                  <c:v>47738161081.318642</c:v>
                </c:pt>
                <c:pt idx="111">
                  <c:v>34086334779.755173</c:v>
                </c:pt>
                <c:pt idx="112">
                  <c:v>4598544569.2127886</c:v>
                </c:pt>
                <c:pt idx="113">
                  <c:v>50468297303.357666</c:v>
                </c:pt>
                <c:pt idx="114">
                  <c:v>63574153620.081764</c:v>
                </c:pt>
                <c:pt idx="115">
                  <c:v>109989904968.8502</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280663796725105.28</c:v>
                </c:pt>
                <c:pt idx="1">
                  <c:v>238256341837979.56</c:v>
                </c:pt>
                <c:pt idx="2">
                  <c:v>202297972956816.41</c:v>
                </c:pt>
                <c:pt idx="3">
                  <c:v>171421044127332.81</c:v>
                </c:pt>
                <c:pt idx="4">
                  <c:v>145810117616063.72</c:v>
                </c:pt>
                <c:pt idx="5">
                  <c:v>125114404661118.75</c:v>
                </c:pt>
                <c:pt idx="6">
                  <c:v>106843666776489.58</c:v>
                </c:pt>
                <c:pt idx="7">
                  <c:v>91867675726636.156</c:v>
                </c:pt>
                <c:pt idx="8">
                  <c:v>78586723517959.187</c:v>
                </c:pt>
                <c:pt idx="9">
                  <c:v>67861541451064.07</c:v>
                </c:pt>
                <c:pt idx="10">
                  <c:v>58250343423680.937</c:v>
                </c:pt>
                <c:pt idx="11">
                  <c:v>50528391118858.031</c:v>
                </c:pt>
                <c:pt idx="12">
                  <c:v>43618022578557.305</c:v>
                </c:pt>
                <c:pt idx="13">
                  <c:v>37671417026865.234</c:v>
                </c:pt>
                <c:pt idx="14">
                  <c:v>33096834290081.367</c:v>
                </c:pt>
                <c:pt idx="15">
                  <c:v>28733705756299.961</c:v>
                </c:pt>
                <c:pt idx="16">
                  <c:v>24712352744440.254</c:v>
                </c:pt>
                <c:pt idx="17">
                  <c:v>21736402756920.93</c:v>
                </c:pt>
                <c:pt idx="18">
                  <c:v>18797520067926.242</c:v>
                </c:pt>
                <c:pt idx="19">
                  <c:v>17172235995284.484</c:v>
                </c:pt>
                <c:pt idx="20">
                  <c:v>14651218849226.986</c:v>
                </c:pt>
                <c:pt idx="21">
                  <c:v>12792186110997.291</c:v>
                </c:pt>
                <c:pt idx="22">
                  <c:v>11643756054053.477</c:v>
                </c:pt>
                <c:pt idx="23">
                  <c:v>10364219292499.756</c:v>
                </c:pt>
                <c:pt idx="24">
                  <c:v>9225637824571.2734</c:v>
                </c:pt>
                <c:pt idx="25">
                  <c:v>8202932479457.1338</c:v>
                </c:pt>
                <c:pt idx="26">
                  <c:v>7087489213097.2432</c:v>
                </c:pt>
                <c:pt idx="27">
                  <c:v>6643608317815.708</c:v>
                </c:pt>
                <c:pt idx="28">
                  <c:v>6328836323582.5449</c:v>
                </c:pt>
                <c:pt idx="29">
                  <c:v>5246599770401.8027</c:v>
                </c:pt>
                <c:pt idx="30">
                  <c:v>4614721590341.6807</c:v>
                </c:pt>
                <c:pt idx="31">
                  <c:v>4467845846537.9961</c:v>
                </c:pt>
                <c:pt idx="32">
                  <c:v>3036745349694.7764</c:v>
                </c:pt>
                <c:pt idx="33">
                  <c:v>2965736008420.4404</c:v>
                </c:pt>
                <c:pt idx="34">
                  <c:v>2858006280961.1167</c:v>
                </c:pt>
                <c:pt idx="35">
                  <c:v>2687349222184.8081</c:v>
                </c:pt>
                <c:pt idx="36">
                  <c:v>2354500920614.0264</c:v>
                </c:pt>
                <c:pt idx="37">
                  <c:v>1895400426455.5352</c:v>
                </c:pt>
                <c:pt idx="38">
                  <c:v>1671902917853.1631</c:v>
                </c:pt>
                <c:pt idx="39">
                  <c:v>1502063516666.428</c:v>
                </c:pt>
                <c:pt idx="40">
                  <c:v>1119625946588.6301</c:v>
                </c:pt>
                <c:pt idx="41">
                  <c:v>1439937476908.6677</c:v>
                </c:pt>
                <c:pt idx="42">
                  <c:v>1011916295793.688</c:v>
                </c:pt>
                <c:pt idx="43">
                  <c:v>1228546082212.2422</c:v>
                </c:pt>
                <c:pt idx="44">
                  <c:v>100000</c:v>
                </c:pt>
                <c:pt idx="45">
                  <c:v>100000</c:v>
                </c:pt>
                <c:pt idx="46">
                  <c:v>100000</c:v>
                </c:pt>
                <c:pt idx="47">
                  <c:v>100000</c:v>
                </c:pt>
                <c:pt idx="48">
                  <c:v>100000</c:v>
                </c:pt>
                <c:pt idx="49">
                  <c:v>100000</c:v>
                </c:pt>
                <c:pt idx="50">
                  <c:v>100000</c:v>
                </c:pt>
                <c:pt idx="51">
                  <c:v>100000</c:v>
                </c:pt>
                <c:pt idx="52">
                  <c:v>100000</c:v>
                </c:pt>
                <c:pt idx="53">
                  <c:v>100000</c:v>
                </c:pt>
                <c:pt idx="54">
                  <c:v>100000</c:v>
                </c:pt>
                <c:pt idx="55">
                  <c:v>100000</c:v>
                </c:pt>
                <c:pt idx="56">
                  <c:v>100000</c:v>
                </c:pt>
                <c:pt idx="57">
                  <c:v>100000</c:v>
                </c:pt>
                <c:pt idx="58">
                  <c:v>100000</c:v>
                </c:pt>
                <c:pt idx="59">
                  <c:v>100000</c:v>
                </c:pt>
                <c:pt idx="60">
                  <c:v>100000</c:v>
                </c:pt>
                <c:pt idx="61">
                  <c:v>100000</c:v>
                </c:pt>
                <c:pt idx="62">
                  <c:v>100000</c:v>
                </c:pt>
                <c:pt idx="63">
                  <c:v>100000</c:v>
                </c:pt>
                <c:pt idx="64">
                  <c:v>100000</c:v>
                </c:pt>
                <c:pt idx="65">
                  <c:v>100000</c:v>
                </c:pt>
                <c:pt idx="66">
                  <c:v>100000</c:v>
                </c:pt>
                <c:pt idx="67">
                  <c:v>100000</c:v>
                </c:pt>
                <c:pt idx="68">
                  <c:v>100000</c:v>
                </c:pt>
                <c:pt idx="69">
                  <c:v>100000</c:v>
                </c:pt>
                <c:pt idx="70">
                  <c:v>100000</c:v>
                </c:pt>
                <c:pt idx="71">
                  <c:v>100000</c:v>
                </c:pt>
                <c:pt idx="72">
                  <c:v>100000</c:v>
                </c:pt>
                <c:pt idx="73">
                  <c:v>100000</c:v>
                </c:pt>
                <c:pt idx="74">
                  <c:v>100000</c:v>
                </c:pt>
                <c:pt idx="75">
                  <c:v>100000</c:v>
                </c:pt>
                <c:pt idx="76">
                  <c:v>100000</c:v>
                </c:pt>
                <c:pt idx="77">
                  <c:v>100000</c:v>
                </c:pt>
                <c:pt idx="78">
                  <c:v>100000</c:v>
                </c:pt>
                <c:pt idx="79">
                  <c:v>100000</c:v>
                </c:pt>
                <c:pt idx="80">
                  <c:v>100000</c:v>
                </c:pt>
                <c:pt idx="81">
                  <c:v>100000</c:v>
                </c:pt>
                <c:pt idx="82">
                  <c:v>100000</c:v>
                </c:pt>
                <c:pt idx="83">
                  <c:v>100000</c:v>
                </c:pt>
                <c:pt idx="84">
                  <c:v>100000</c:v>
                </c:pt>
                <c:pt idx="85">
                  <c:v>100000</c:v>
                </c:pt>
                <c:pt idx="86">
                  <c:v>100000</c:v>
                </c:pt>
                <c:pt idx="87">
                  <c:v>100000</c:v>
                </c:pt>
                <c:pt idx="88">
                  <c:v>100000</c:v>
                </c:pt>
                <c:pt idx="89">
                  <c:v>100000</c:v>
                </c:pt>
                <c:pt idx="90">
                  <c:v>100000</c:v>
                </c:pt>
                <c:pt idx="91">
                  <c:v>100000</c:v>
                </c:pt>
                <c:pt idx="92">
                  <c:v>100000</c:v>
                </c:pt>
                <c:pt idx="93">
                  <c:v>100000</c:v>
                </c:pt>
                <c:pt idx="94">
                  <c:v>100000</c:v>
                </c:pt>
                <c:pt idx="95">
                  <c:v>100000</c:v>
                </c:pt>
                <c:pt idx="96">
                  <c:v>100000</c:v>
                </c:pt>
                <c:pt idx="97">
                  <c:v>100000</c:v>
                </c:pt>
                <c:pt idx="98">
                  <c:v>100000</c:v>
                </c:pt>
                <c:pt idx="99">
                  <c:v>100000</c:v>
                </c:pt>
                <c:pt idx="100">
                  <c:v>100000</c:v>
                </c:pt>
                <c:pt idx="101">
                  <c:v>100000</c:v>
                </c:pt>
                <c:pt idx="102">
                  <c:v>100000</c:v>
                </c:pt>
                <c:pt idx="103">
                  <c:v>100000</c:v>
                </c:pt>
                <c:pt idx="104">
                  <c:v>100000</c:v>
                </c:pt>
                <c:pt idx="105">
                  <c:v>100000</c:v>
                </c:pt>
                <c:pt idx="106">
                  <c:v>100000</c:v>
                </c:pt>
                <c:pt idx="107">
                  <c:v>100000</c:v>
                </c:pt>
                <c:pt idx="108">
                  <c:v>100000</c:v>
                </c:pt>
                <c:pt idx="109">
                  <c:v>100000</c:v>
                </c:pt>
                <c:pt idx="110">
                  <c:v>100000</c:v>
                </c:pt>
                <c:pt idx="111">
                  <c:v>100000</c:v>
                </c:pt>
                <c:pt idx="112">
                  <c:v>100000</c:v>
                </c:pt>
                <c:pt idx="113">
                  <c:v>100000</c:v>
                </c:pt>
                <c:pt idx="114">
                  <c:v>100000</c:v>
                </c:pt>
                <c:pt idx="115">
                  <c:v>100000</c:v>
                </c:pt>
              </c:numCache>
            </c:numRef>
          </c:xVal>
          <c:yVal>
            <c:numRef>
              <c:f>Calc!$S$15:$S$130</c:f>
              <c:numCache>
                <c:formatCode>0</c:formatCode>
                <c:ptCount val="116"/>
                <c:pt idx="0">
                  <c:v>306188.92995005049</c:v>
                </c:pt>
                <c:pt idx="1">
                  <c:v>313615.34404286067</c:v>
                </c:pt>
                <c:pt idx="2">
                  <c:v>321565.67772996571</c:v>
                </c:pt>
                <c:pt idx="3">
                  <c:v>331080.0812768318</c:v>
                </c:pt>
                <c:pt idx="4">
                  <c:v>340293.01595642668</c:v>
                </c:pt>
                <c:pt idx="5">
                  <c:v>347654.41384639259</c:v>
                </c:pt>
                <c:pt idx="6">
                  <c:v>357286.0209815795</c:v>
                </c:pt>
                <c:pt idx="7">
                  <c:v>365439.73835087032</c:v>
                </c:pt>
                <c:pt idx="8">
                  <c:v>376060.32347413921</c:v>
                </c:pt>
                <c:pt idx="9">
                  <c:v>383697.54148827941</c:v>
                </c:pt>
                <c:pt idx="10">
                  <c:v>394650.95872678416</c:v>
                </c:pt>
                <c:pt idx="11">
                  <c:v>401957.59562387958</c:v>
                </c:pt>
                <c:pt idx="12">
                  <c:v>412425.85235884879</c:v>
                </c:pt>
                <c:pt idx="13">
                  <c:v>423087.56408582121</c:v>
                </c:pt>
                <c:pt idx="14">
                  <c:v>426889.98143353639</c:v>
                </c:pt>
                <c:pt idx="15">
                  <c:v>436347.97819264926</c:v>
                </c:pt>
                <c:pt idx="16">
                  <c:v>449887.24673740246</c:v>
                </c:pt>
                <c:pt idx="17">
                  <c:v>454148.1533335328</c:v>
                </c:pt>
                <c:pt idx="18">
                  <c:v>468376.42876632442</c:v>
                </c:pt>
                <c:pt idx="19">
                  <c:v>455911.12262532907</c:v>
                </c:pt>
                <c:pt idx="20">
                  <c:v>474986.17763560935</c:v>
                </c:pt>
                <c:pt idx="21">
                  <c:v>484503.6403075484</c:v>
                </c:pt>
                <c:pt idx="22">
                  <c:v>473087.28491373407</c:v>
                </c:pt>
                <c:pt idx="23">
                  <c:v>473251.53716280812</c:v>
                </c:pt>
                <c:pt idx="24">
                  <c:v>473083.35009425745</c:v>
                </c:pt>
                <c:pt idx="25">
                  <c:v>473161.38241363392</c:v>
                </c:pt>
                <c:pt idx="26">
                  <c:v>486345.502489076</c:v>
                </c:pt>
                <c:pt idx="27">
                  <c:v>461839.74601692671</c:v>
                </c:pt>
                <c:pt idx="28">
                  <c:v>430192.48676529177</c:v>
                </c:pt>
                <c:pt idx="29">
                  <c:v>457709.84187283978</c:v>
                </c:pt>
                <c:pt idx="30">
                  <c:v>461393.52660489042</c:v>
                </c:pt>
                <c:pt idx="31">
                  <c:v>421011.37862944516</c:v>
                </c:pt>
                <c:pt idx="32">
                  <c:v>550600.57882365026</c:v>
                </c:pt>
                <c:pt idx="33">
                  <c:v>494938.71883156954</c:v>
                </c:pt>
                <c:pt idx="34">
                  <c:v>453237.12317998323</c:v>
                </c:pt>
                <c:pt idx="35">
                  <c:v>423640.16136765538</c:v>
                </c:pt>
                <c:pt idx="36">
                  <c:v>421814.00365224195</c:v>
                </c:pt>
                <c:pt idx="37">
                  <c:v>460544.57096246316</c:v>
                </c:pt>
                <c:pt idx="38">
                  <c:v>456916.43973793142</c:v>
                </c:pt>
                <c:pt idx="39">
                  <c:v>443033.83929289004</c:v>
                </c:pt>
                <c:pt idx="40">
                  <c:v>516569.46771561657</c:v>
                </c:pt>
                <c:pt idx="41">
                  <c:v>354901.45909938781</c:v>
                </c:pt>
                <c:pt idx="42">
                  <c:v>435296.41881281725</c:v>
                </c:pt>
                <c:pt idx="43">
                  <c:v>203503.86605386264</c:v>
                </c:pt>
                <c:pt idx="44">
                  <c:v>246507595388.80075</c:v>
                </c:pt>
                <c:pt idx="45">
                  <c:v>35724531032.11541</c:v>
                </c:pt>
                <c:pt idx="46">
                  <c:v>10059246460.05397</c:v>
                </c:pt>
                <c:pt idx="47">
                  <c:v>311524290.69666672</c:v>
                </c:pt>
                <c:pt idx="48">
                  <c:v>49376357333.678902</c:v>
                </c:pt>
                <c:pt idx="49">
                  <c:v>17158173233.03961</c:v>
                </c:pt>
                <c:pt idx="50">
                  <c:v>35178561047.276024</c:v>
                </c:pt>
                <c:pt idx="51">
                  <c:v>130740772562.53618</c:v>
                </c:pt>
                <c:pt idx="52">
                  <c:v>311524290.69666672</c:v>
                </c:pt>
                <c:pt idx="53">
                  <c:v>77771949906.484634</c:v>
                </c:pt>
                <c:pt idx="54">
                  <c:v>41731346056.717026</c:v>
                </c:pt>
                <c:pt idx="55">
                  <c:v>23710986872.26482</c:v>
                </c:pt>
                <c:pt idx="56">
                  <c:v>75587497371.442902</c:v>
                </c:pt>
                <c:pt idx="57">
                  <c:v>311524290.69666672</c:v>
                </c:pt>
                <c:pt idx="58">
                  <c:v>38454953551.996529</c:v>
                </c:pt>
                <c:pt idx="59">
                  <c:v>13335667594.558681</c:v>
                </c:pt>
                <c:pt idx="60">
                  <c:v>41185089774.035553</c:v>
                </c:pt>
                <c:pt idx="61">
                  <c:v>97430304934.807617</c:v>
                </c:pt>
                <c:pt idx="62">
                  <c:v>8967106081.8857346</c:v>
                </c:pt>
                <c:pt idx="63">
                  <c:v>311524290.69666672</c:v>
                </c:pt>
                <c:pt idx="64">
                  <c:v>311524290.69666672</c:v>
                </c:pt>
                <c:pt idx="65">
                  <c:v>311524290.69666672</c:v>
                </c:pt>
                <c:pt idx="66">
                  <c:v>311524290.69666672</c:v>
                </c:pt>
                <c:pt idx="67">
                  <c:v>311524290.69666672</c:v>
                </c:pt>
                <c:pt idx="68">
                  <c:v>311524290.69666672</c:v>
                </c:pt>
                <c:pt idx="69">
                  <c:v>311524290.69666672</c:v>
                </c:pt>
                <c:pt idx="70">
                  <c:v>311524290.69666672</c:v>
                </c:pt>
                <c:pt idx="71">
                  <c:v>311524290.69666672</c:v>
                </c:pt>
                <c:pt idx="72">
                  <c:v>311524290.69666672</c:v>
                </c:pt>
                <c:pt idx="73">
                  <c:v>103437119959.40923</c:v>
                </c:pt>
                <c:pt idx="74">
                  <c:v>71765134881.883011</c:v>
                </c:pt>
                <c:pt idx="75">
                  <c:v>19888509863.568096</c:v>
                </c:pt>
                <c:pt idx="76">
                  <c:v>311524290.69666672</c:v>
                </c:pt>
                <c:pt idx="77">
                  <c:v>311524290.69666672</c:v>
                </c:pt>
                <c:pt idx="78">
                  <c:v>53198719823.238777</c:v>
                </c:pt>
                <c:pt idx="79">
                  <c:v>311524290.69666672</c:v>
                </c:pt>
                <c:pt idx="80">
                  <c:v>311524290.69666672</c:v>
                </c:pt>
                <c:pt idx="81">
                  <c:v>311524290.69666672</c:v>
                </c:pt>
                <c:pt idx="82">
                  <c:v>311524290.69666672</c:v>
                </c:pt>
                <c:pt idx="83">
                  <c:v>176610553926.46527</c:v>
                </c:pt>
                <c:pt idx="84">
                  <c:v>311524290.69666672</c:v>
                </c:pt>
                <c:pt idx="85">
                  <c:v>311524290.69666672</c:v>
                </c:pt>
                <c:pt idx="86">
                  <c:v>70126938629.522766</c:v>
                </c:pt>
                <c:pt idx="87">
                  <c:v>26987408006.769527</c:v>
                </c:pt>
                <c:pt idx="88">
                  <c:v>311524290.69666672</c:v>
                </c:pt>
                <c:pt idx="89">
                  <c:v>71219164897.04361</c:v>
                </c:pt>
                <c:pt idx="90">
                  <c:v>31355912259.874065</c:v>
                </c:pt>
                <c:pt idx="91">
                  <c:v>6236769451.3572474</c:v>
                </c:pt>
                <c:pt idx="92">
                  <c:v>131832712532.21497</c:v>
                </c:pt>
                <c:pt idx="93">
                  <c:v>140569950076.69769</c:v>
                </c:pt>
                <c:pt idx="94">
                  <c:v>64666093589.760521</c:v>
                </c:pt>
                <c:pt idx="95">
                  <c:v>131832712532.21497</c:v>
                </c:pt>
                <c:pt idx="96">
                  <c:v>311524290.69666672</c:v>
                </c:pt>
                <c:pt idx="97">
                  <c:v>70672908614.362137</c:v>
                </c:pt>
                <c:pt idx="98">
                  <c:v>47738161081.318642</c:v>
                </c:pt>
                <c:pt idx="99">
                  <c:v>90331549940.527237</c:v>
                </c:pt>
                <c:pt idx="100">
                  <c:v>58113308580.31955</c:v>
                </c:pt>
                <c:pt idx="101">
                  <c:v>311524290.69666672</c:v>
                </c:pt>
                <c:pt idx="102">
                  <c:v>102345179989.73042</c:v>
                </c:pt>
                <c:pt idx="103">
                  <c:v>103437119959.40923</c:v>
                </c:pt>
                <c:pt idx="104">
                  <c:v>159682335120.1813</c:v>
                </c:pt>
                <c:pt idx="105">
                  <c:v>77225979921.645218</c:v>
                </c:pt>
                <c:pt idx="106">
                  <c:v>18796369485.399864</c:v>
                </c:pt>
                <c:pt idx="107">
                  <c:v>163504983907.58328</c:v>
                </c:pt>
                <c:pt idx="108">
                  <c:v>311524290.69666672</c:v>
                </c:pt>
                <c:pt idx="109">
                  <c:v>61389701085.040031</c:v>
                </c:pt>
                <c:pt idx="110">
                  <c:v>47738161081.318642</c:v>
                </c:pt>
                <c:pt idx="111">
                  <c:v>34086334779.755173</c:v>
                </c:pt>
                <c:pt idx="112">
                  <c:v>4598544569.2127886</c:v>
                </c:pt>
                <c:pt idx="113">
                  <c:v>50468297303.357666</c:v>
                </c:pt>
                <c:pt idx="114">
                  <c:v>63574153620.081764</c:v>
                </c:pt>
                <c:pt idx="115">
                  <c:v>109989904968.8502</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464175523013892.56</c:v>
                </c:pt>
                <c:pt idx="1">
                  <c:v>393770831035492.25</c:v>
                </c:pt>
                <c:pt idx="2">
                  <c:v>332550446216967.69</c:v>
                </c:pt>
                <c:pt idx="3">
                  <c:v>280663796725105.28</c:v>
                </c:pt>
                <c:pt idx="4">
                  <c:v>238256341837979.56</c:v>
                </c:pt>
                <c:pt idx="5">
                  <c:v>202297972956816.41</c:v>
                </c:pt>
                <c:pt idx="6">
                  <c:v>171421044127332.81</c:v>
                </c:pt>
                <c:pt idx="7">
                  <c:v>145810117616063.72</c:v>
                </c:pt>
                <c:pt idx="8">
                  <c:v>125114404661118.75</c:v>
                </c:pt>
                <c:pt idx="9">
                  <c:v>106843666776489.58</c:v>
                </c:pt>
                <c:pt idx="10">
                  <c:v>91867675726636.156</c:v>
                </c:pt>
                <c:pt idx="11">
                  <c:v>78586723517959.187</c:v>
                </c:pt>
                <c:pt idx="12">
                  <c:v>67861541451064.07</c:v>
                </c:pt>
                <c:pt idx="13">
                  <c:v>58250343423680.937</c:v>
                </c:pt>
                <c:pt idx="14">
                  <c:v>50528391118858.031</c:v>
                </c:pt>
                <c:pt idx="15">
                  <c:v>43618022578557.305</c:v>
                </c:pt>
                <c:pt idx="16">
                  <c:v>37671417026865.234</c:v>
                </c:pt>
                <c:pt idx="17">
                  <c:v>33096834290081.367</c:v>
                </c:pt>
                <c:pt idx="18">
                  <c:v>28733705756299.961</c:v>
                </c:pt>
                <c:pt idx="19">
                  <c:v>24712352744440.254</c:v>
                </c:pt>
                <c:pt idx="20">
                  <c:v>21736402756920.93</c:v>
                </c:pt>
                <c:pt idx="21">
                  <c:v>18797520067926.242</c:v>
                </c:pt>
                <c:pt idx="22">
                  <c:v>17172235995284.484</c:v>
                </c:pt>
                <c:pt idx="23">
                  <c:v>14651218849226.986</c:v>
                </c:pt>
                <c:pt idx="24">
                  <c:v>12792186110997.291</c:v>
                </c:pt>
                <c:pt idx="25">
                  <c:v>11643756054053.477</c:v>
                </c:pt>
                <c:pt idx="26">
                  <c:v>10364219292499.756</c:v>
                </c:pt>
                <c:pt idx="27">
                  <c:v>9225637824571.2734</c:v>
                </c:pt>
                <c:pt idx="28">
                  <c:v>8202932479457.1338</c:v>
                </c:pt>
                <c:pt idx="29">
                  <c:v>7087489213097.2432</c:v>
                </c:pt>
                <c:pt idx="30">
                  <c:v>6643608317815.708</c:v>
                </c:pt>
                <c:pt idx="31">
                  <c:v>6328836323582.5449</c:v>
                </c:pt>
                <c:pt idx="32">
                  <c:v>5246599770401.8027</c:v>
                </c:pt>
                <c:pt idx="33">
                  <c:v>4614721590341.6807</c:v>
                </c:pt>
                <c:pt idx="34">
                  <c:v>4467845846537.9961</c:v>
                </c:pt>
                <c:pt idx="35">
                  <c:v>3036745349694.7764</c:v>
                </c:pt>
                <c:pt idx="36">
                  <c:v>2965736008420.4404</c:v>
                </c:pt>
                <c:pt idx="37">
                  <c:v>2858006280961.1167</c:v>
                </c:pt>
                <c:pt idx="38">
                  <c:v>2687349222184.8081</c:v>
                </c:pt>
                <c:pt idx="39">
                  <c:v>2354500920614.0264</c:v>
                </c:pt>
                <c:pt idx="40">
                  <c:v>1895400426455.5352</c:v>
                </c:pt>
                <c:pt idx="41">
                  <c:v>1671902917853.1631</c:v>
                </c:pt>
                <c:pt idx="42">
                  <c:v>1502063516666.428</c:v>
                </c:pt>
                <c:pt idx="43">
                  <c:v>1119625946588.6301</c:v>
                </c:pt>
                <c:pt idx="44">
                  <c:v>1439937476908.6677</c:v>
                </c:pt>
                <c:pt idx="45">
                  <c:v>1011916295793.688</c:v>
                </c:pt>
                <c:pt idx="46">
                  <c:v>1228546082212.2422</c:v>
                </c:pt>
                <c:pt idx="47">
                  <c:v>100000</c:v>
                </c:pt>
                <c:pt idx="48">
                  <c:v>100000</c:v>
                </c:pt>
                <c:pt idx="49">
                  <c:v>100000</c:v>
                </c:pt>
                <c:pt idx="50">
                  <c:v>100000</c:v>
                </c:pt>
                <c:pt idx="51">
                  <c:v>100000</c:v>
                </c:pt>
                <c:pt idx="52">
                  <c:v>100000</c:v>
                </c:pt>
                <c:pt idx="53">
                  <c:v>100000</c:v>
                </c:pt>
                <c:pt idx="54">
                  <c:v>100000</c:v>
                </c:pt>
                <c:pt idx="55">
                  <c:v>100000</c:v>
                </c:pt>
                <c:pt idx="56">
                  <c:v>100000</c:v>
                </c:pt>
                <c:pt idx="57">
                  <c:v>100000</c:v>
                </c:pt>
                <c:pt idx="58">
                  <c:v>100000</c:v>
                </c:pt>
                <c:pt idx="59">
                  <c:v>100000</c:v>
                </c:pt>
                <c:pt idx="60">
                  <c:v>100000</c:v>
                </c:pt>
                <c:pt idx="61">
                  <c:v>100000</c:v>
                </c:pt>
                <c:pt idx="62">
                  <c:v>100000</c:v>
                </c:pt>
                <c:pt idx="63">
                  <c:v>100000</c:v>
                </c:pt>
                <c:pt idx="64">
                  <c:v>100000</c:v>
                </c:pt>
                <c:pt idx="65">
                  <c:v>100000</c:v>
                </c:pt>
                <c:pt idx="66">
                  <c:v>100000</c:v>
                </c:pt>
                <c:pt idx="67">
                  <c:v>100000</c:v>
                </c:pt>
                <c:pt idx="68">
                  <c:v>100000</c:v>
                </c:pt>
                <c:pt idx="69">
                  <c:v>100000</c:v>
                </c:pt>
                <c:pt idx="70">
                  <c:v>100000</c:v>
                </c:pt>
                <c:pt idx="71">
                  <c:v>100000</c:v>
                </c:pt>
                <c:pt idx="72">
                  <c:v>100000</c:v>
                </c:pt>
                <c:pt idx="73">
                  <c:v>100000</c:v>
                </c:pt>
                <c:pt idx="74">
                  <c:v>100000</c:v>
                </c:pt>
                <c:pt idx="75">
                  <c:v>100000</c:v>
                </c:pt>
                <c:pt idx="76">
                  <c:v>100000</c:v>
                </c:pt>
                <c:pt idx="77">
                  <c:v>100000</c:v>
                </c:pt>
                <c:pt idx="78">
                  <c:v>100000</c:v>
                </c:pt>
                <c:pt idx="79">
                  <c:v>100000</c:v>
                </c:pt>
                <c:pt idx="80">
                  <c:v>100000</c:v>
                </c:pt>
                <c:pt idx="81">
                  <c:v>100000</c:v>
                </c:pt>
                <c:pt idx="82">
                  <c:v>100000</c:v>
                </c:pt>
                <c:pt idx="83">
                  <c:v>100000</c:v>
                </c:pt>
                <c:pt idx="84">
                  <c:v>100000</c:v>
                </c:pt>
                <c:pt idx="85">
                  <c:v>100000</c:v>
                </c:pt>
                <c:pt idx="86">
                  <c:v>100000</c:v>
                </c:pt>
                <c:pt idx="87">
                  <c:v>100000</c:v>
                </c:pt>
                <c:pt idx="88">
                  <c:v>100000</c:v>
                </c:pt>
                <c:pt idx="89">
                  <c:v>100000</c:v>
                </c:pt>
                <c:pt idx="90">
                  <c:v>100000</c:v>
                </c:pt>
                <c:pt idx="91">
                  <c:v>100000</c:v>
                </c:pt>
                <c:pt idx="92">
                  <c:v>100000</c:v>
                </c:pt>
                <c:pt idx="93">
                  <c:v>100000</c:v>
                </c:pt>
                <c:pt idx="94">
                  <c:v>100000</c:v>
                </c:pt>
                <c:pt idx="95">
                  <c:v>100000</c:v>
                </c:pt>
                <c:pt idx="96">
                  <c:v>100000</c:v>
                </c:pt>
                <c:pt idx="97">
                  <c:v>100000</c:v>
                </c:pt>
                <c:pt idx="98">
                  <c:v>100000</c:v>
                </c:pt>
                <c:pt idx="99">
                  <c:v>100000</c:v>
                </c:pt>
                <c:pt idx="100">
                  <c:v>100000</c:v>
                </c:pt>
                <c:pt idx="101">
                  <c:v>100000</c:v>
                </c:pt>
                <c:pt idx="102">
                  <c:v>100000</c:v>
                </c:pt>
                <c:pt idx="103">
                  <c:v>100000</c:v>
                </c:pt>
                <c:pt idx="104">
                  <c:v>100000</c:v>
                </c:pt>
                <c:pt idx="105">
                  <c:v>100000</c:v>
                </c:pt>
                <c:pt idx="106">
                  <c:v>100000</c:v>
                </c:pt>
                <c:pt idx="107">
                  <c:v>100000</c:v>
                </c:pt>
                <c:pt idx="108">
                  <c:v>100000</c:v>
                </c:pt>
                <c:pt idx="109">
                  <c:v>100000</c:v>
                </c:pt>
                <c:pt idx="110">
                  <c:v>100000</c:v>
                </c:pt>
                <c:pt idx="111">
                  <c:v>100000</c:v>
                </c:pt>
                <c:pt idx="112">
                  <c:v>100000</c:v>
                </c:pt>
                <c:pt idx="113">
                  <c:v>100000</c:v>
                </c:pt>
                <c:pt idx="114">
                  <c:v>100000</c:v>
                </c:pt>
                <c:pt idx="115">
                  <c:v>100000</c:v>
                </c:pt>
                <c:pt idx="116">
                  <c:v>100000</c:v>
                </c:pt>
                <c:pt idx="117">
                  <c:v>100000</c:v>
                </c:pt>
                <c:pt idx="118">
                  <c:v>100000</c:v>
                </c:pt>
              </c:numCache>
            </c:numRef>
          </c:xVal>
          <c:yVal>
            <c:numRef>
              <c:f>Calc!$U$12:$U$130</c:f>
              <c:numCache>
                <c:formatCode>0</c:formatCode>
                <c:ptCount val="1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0</c:v>
                </c:pt>
              </c:numCache>
            </c:numRef>
          </c:xVal>
          <c:yVal>
            <c:numRef>
              <c:f>Calc!$X$6</c:f>
              <c:numCache>
                <c:formatCode>0.00E+00</c:formatCode>
                <c:ptCount val="1"/>
                <c:pt idx="0">
                  <c:v>0</c:v>
                </c:pt>
              </c:numCache>
            </c:numRef>
          </c:yVal>
          <c:smooth val="0"/>
        </c:ser>
        <c:dLbls>
          <c:showLegendKey val="0"/>
          <c:showVal val="0"/>
          <c:showCatName val="0"/>
          <c:showSerName val="0"/>
          <c:showPercent val="0"/>
          <c:showBubbleSize val="0"/>
        </c:dLbls>
        <c:axId val="128288256"/>
        <c:axId val="128303104"/>
      </c:scatterChart>
      <c:valAx>
        <c:axId val="128288256"/>
        <c:scaling>
          <c:orientation val="minMax"/>
          <c:min val="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128303104"/>
        <c:crosses val="autoZero"/>
        <c:crossBetween val="midCat"/>
      </c:valAx>
      <c:valAx>
        <c:axId val="128303104"/>
        <c:scaling>
          <c:orientation val="minMax"/>
          <c:max val="47832.345925569083"/>
          <c:min val="0"/>
        </c:scaling>
        <c:delete val="0"/>
        <c:axPos val="l"/>
        <c:majorGridlines/>
        <c:title>
          <c:tx>
            <c:rich>
              <a:bodyPr rot="-5400000" vert="horz"/>
              <a:lstStyle/>
              <a:p>
                <a:pPr>
                  <a:defRPr sz="1100">
                    <a:solidFill>
                      <a:sysClr val="windowText" lastClr="000000"/>
                    </a:solidFill>
                    <a:latin typeface="Arial" pitchFamily="34" charset="0"/>
                    <a:cs typeface="Arial" pitchFamily="34" charset="0"/>
                  </a:defRPr>
                </a:pPr>
                <a:r>
                  <a:rPr lang="en-US" sz="1100">
                    <a:solidFill>
                      <a:sysClr val="windowText" lastClr="000000"/>
                    </a:solidFill>
                    <a:latin typeface="Arial" pitchFamily="34" charset="0"/>
                    <a:cs typeface="Arial" pitchFamily="34" charset="0"/>
                  </a:rPr>
                  <a:t>Inverse</a:t>
                </a:r>
                <a:r>
                  <a:rPr lang="en-US" sz="1100" baseline="0">
                    <a:solidFill>
                      <a:sysClr val="windowText" lastClr="000000"/>
                    </a:solidFill>
                    <a:latin typeface="Arial" pitchFamily="34" charset="0"/>
                    <a:cs typeface="Arial" pitchFamily="34" charset="0"/>
                  </a:rPr>
                  <a:t> Lifetime - Correction Term (s</a:t>
                </a:r>
                <a:r>
                  <a:rPr lang="en-US" sz="1100" baseline="30000">
                    <a:solidFill>
                      <a:sysClr val="windowText" lastClr="000000"/>
                    </a:solidFill>
                    <a:latin typeface="Arial" pitchFamily="34" charset="0"/>
                    <a:cs typeface="Arial" pitchFamily="34" charset="0"/>
                  </a:rPr>
                  <a:t>-1</a:t>
                </a:r>
                <a:r>
                  <a:rPr lang="en-US" sz="1100" baseline="0">
                    <a:solidFill>
                      <a:sysClr val="windowText" lastClr="000000"/>
                    </a:solidFill>
                    <a:latin typeface="Arial" pitchFamily="34" charset="0"/>
                    <a:cs typeface="Arial" pitchFamily="34" charset="0"/>
                  </a:rPr>
                  <a:t>)</a:t>
                </a:r>
              </a:p>
            </c:rich>
          </c:tx>
          <c:overlay val="0"/>
        </c:title>
        <c:numFmt formatCode="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128288256"/>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Illumination and</a:t>
            </a:r>
            <a:r>
              <a:rPr lang="en-US" sz="1200" baseline="0">
                <a:latin typeface="Arial" pitchFamily="34" charset="0"/>
                <a:cs typeface="Arial" pitchFamily="34" charset="0"/>
              </a:rPr>
              <a:t> Photoconductance</a:t>
            </a:r>
            <a:endParaRPr lang="en-US" sz="1200">
              <a:latin typeface="Arial" pitchFamily="34" charset="0"/>
              <a:cs typeface="Arial" pitchFamily="34" charset="0"/>
            </a:endParaRP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Calc!$E$9:$E$133</c:f>
              <c:numCache>
                <c:formatCode>0.00</c:formatCode>
                <c:ptCount val="125"/>
                <c:pt idx="0">
                  <c:v>39.036125316207666</c:v>
                </c:pt>
                <c:pt idx="1">
                  <c:v>45.613937178948596</c:v>
                </c:pt>
                <c:pt idx="2">
                  <c:v>45.610261088824949</c:v>
                </c:pt>
                <c:pt idx="3">
                  <c:v>42.495142318049716</c:v>
                </c:pt>
                <c:pt idx="4">
                  <c:v>36.807036167483538</c:v>
                </c:pt>
                <c:pt idx="5">
                  <c:v>31.837238027077223</c:v>
                </c:pt>
                <c:pt idx="6">
                  <c:v>27.585839799083889</c:v>
                </c:pt>
                <c:pt idx="7">
                  <c:v>23.985660936493936</c:v>
                </c:pt>
                <c:pt idx="8">
                  <c:v>20.881938045102</c:v>
                </c:pt>
                <c:pt idx="9">
                  <c:v>18.21824314151015</c:v>
                </c:pt>
                <c:pt idx="10">
                  <c:v>15.927579483214993</c:v>
                </c:pt>
                <c:pt idx="11">
                  <c:v>13.962525507621532</c:v>
                </c:pt>
                <c:pt idx="12">
                  <c:v>12.253878818152181</c:v>
                </c:pt>
                <c:pt idx="13">
                  <c:v>10.77673390421926</c:v>
                </c:pt>
                <c:pt idx="14">
                  <c:v>9.4867019775797754</c:v>
                </c:pt>
                <c:pt idx="15">
                  <c:v>8.3583628750287371</c:v>
                </c:pt>
                <c:pt idx="16">
                  <c:v>7.3793833142013225</c:v>
                </c:pt>
                <c:pt idx="17">
                  <c:v>6.5196469267595827</c:v>
                </c:pt>
                <c:pt idx="18">
                  <c:v>5.7745769804995817</c:v>
                </c:pt>
                <c:pt idx="19">
                  <c:v>5.1162351904816337</c:v>
                </c:pt>
                <c:pt idx="20">
                  <c:v>4.5353486193688477</c:v>
                </c:pt>
                <c:pt idx="21">
                  <c:v>4.0246937500682636</c:v>
                </c:pt>
                <c:pt idx="22">
                  <c:v>3.568831004060582</c:v>
                </c:pt>
                <c:pt idx="23">
                  <c:v>3.1687896865804217</c:v>
                </c:pt>
                <c:pt idx="24">
                  <c:v>2.826205657732805</c:v>
                </c:pt>
                <c:pt idx="25">
                  <c:v>2.5131314423527336</c:v>
                </c:pt>
                <c:pt idx="26">
                  <c:v>2.2338956365607974</c:v>
                </c:pt>
                <c:pt idx="27">
                  <c:v>1.9895275455916168</c:v>
                </c:pt>
                <c:pt idx="28">
                  <c:v>1.7682453005989158</c:v>
                </c:pt>
                <c:pt idx="29">
                  <c:v>1.5744785901816838</c:v>
                </c:pt>
                <c:pt idx="30">
                  <c:v>1.401013087472271</c:v>
                </c:pt>
                <c:pt idx="31">
                  <c:v>1.245909654930456</c:v>
                </c:pt>
                <c:pt idx="32">
                  <c:v>1.1064847467659793</c:v>
                </c:pt>
                <c:pt idx="33">
                  <c:v>0.98492563660240851</c:v>
                </c:pt>
                <c:pt idx="34">
                  <c:v>0.87396653231036259</c:v>
                </c:pt>
                <c:pt idx="35">
                  <c:v>0.7708613945674806</c:v>
                </c:pt>
                <c:pt idx="36">
                  <c:v>0.68347889428342024</c:v>
                </c:pt>
                <c:pt idx="37">
                  <c:v>0.60380975010129434</c:v>
                </c:pt>
                <c:pt idx="38">
                  <c:v>0.53672661947999178</c:v>
                </c:pt>
                <c:pt idx="39">
                  <c:v>0.47118560866555753</c:v>
                </c:pt>
                <c:pt idx="40">
                  <c:v>0.4158117441105893</c:v>
                </c:pt>
                <c:pt idx="41">
                  <c:v>0.36545114746173957</c:v>
                </c:pt>
                <c:pt idx="42">
                  <c:v>0.31880707792789309</c:v>
                </c:pt>
                <c:pt idx="43">
                  <c:v>0.2802081316296397</c:v>
                </c:pt>
                <c:pt idx="44">
                  <c:v>0.24522002485533478</c:v>
                </c:pt>
                <c:pt idx="45">
                  <c:v>0.21361575903984345</c:v>
                </c:pt>
                <c:pt idx="46">
                  <c:v>0.18565633658194433</c:v>
                </c:pt>
                <c:pt idx="47">
                  <c:v>0.16404368372251515</c:v>
                </c:pt>
                <c:pt idx="48">
                  <c:v>0.14139621149328041</c:v>
                </c:pt>
                <c:pt idx="49">
                  <c:v>8.0255021045581562E-2</c:v>
                </c:pt>
                <c:pt idx="50">
                  <c:v>7.9129494151975108E-3</c:v>
                </c:pt>
                <c:pt idx="51">
                  <c:v>1.1467655042957995E-3</c:v>
                </c:pt>
                <c:pt idx="52">
                  <c:v>3.2290408037069339E-4</c:v>
                </c:pt>
                <c:pt idx="53">
                  <c:v>1.0000000000000001E-5</c:v>
                </c:pt>
                <c:pt idx="54">
                  <c:v>1.5849922079353032E-3</c:v>
                </c:pt>
                <c:pt idx="55">
                  <c:v>5.507812310452106E-4</c:v>
                </c:pt>
                <c:pt idx="56">
                  <c:v>1.1292397446313305E-3</c:v>
                </c:pt>
                <c:pt idx="57">
                  <c:v>4.1968082896572381E-3</c:v>
                </c:pt>
                <c:pt idx="58">
                  <c:v>1.0000000000000001E-5</c:v>
                </c:pt>
                <c:pt idx="59">
                  <c:v>2.4964971345432484E-3</c:v>
                </c:pt>
                <c:pt idx="60">
                  <c:v>1.3395856215061934E-3</c:v>
                </c:pt>
                <c:pt idx="61">
                  <c:v>7.6112802694260431E-4</c:v>
                </c:pt>
                <c:pt idx="62">
                  <c:v>2.4263757154347546E-3</c:v>
                </c:pt>
                <c:pt idx="63">
                  <c:v>1.0000000000000001E-5</c:v>
                </c:pt>
                <c:pt idx="64">
                  <c:v>1.2344126830687622E-3</c:v>
                </c:pt>
                <c:pt idx="65">
                  <c:v>4.2807793783065571E-4</c:v>
                </c:pt>
                <c:pt idx="66">
                  <c:v>1.3220506716164154E-3</c:v>
                </c:pt>
                <c:pt idx="67">
                  <c:v>3.1275347651678366E-3</c:v>
                </c:pt>
                <c:pt idx="68">
                  <c:v>2.8784612788403932E-4</c:v>
                </c:pt>
                <c:pt idx="69">
                  <c:v>1.0000000000000001E-5</c:v>
                </c:pt>
                <c:pt idx="70">
                  <c:v>1.0000000000000001E-5</c:v>
                </c:pt>
                <c:pt idx="71">
                  <c:v>1.0000000000000001E-5</c:v>
                </c:pt>
                <c:pt idx="72">
                  <c:v>1.0000000000000001E-5</c:v>
                </c:pt>
                <c:pt idx="73">
                  <c:v>1.0000000000000001E-5</c:v>
                </c:pt>
                <c:pt idx="74">
                  <c:v>1.0000000000000001E-5</c:v>
                </c:pt>
                <c:pt idx="75">
                  <c:v>1.0000000000000001E-5</c:v>
                </c:pt>
                <c:pt idx="76">
                  <c:v>1.0000000000000001E-5</c:v>
                </c:pt>
                <c:pt idx="77">
                  <c:v>1.0000000000000001E-5</c:v>
                </c:pt>
                <c:pt idx="78">
                  <c:v>1.0000000000000001E-5</c:v>
                </c:pt>
                <c:pt idx="79">
                  <c:v>3.3203548823782306E-3</c:v>
                </c:pt>
                <c:pt idx="80">
                  <c:v>2.3036770173328544E-3</c:v>
                </c:pt>
                <c:pt idx="81">
                  <c:v>6.3842565275058034E-4</c:v>
                </c:pt>
                <c:pt idx="82">
                  <c:v>1.0000000000000001E-5</c:v>
                </c:pt>
                <c:pt idx="83">
                  <c:v>1.0000000000000001E-5</c:v>
                </c:pt>
                <c:pt idx="84">
                  <c:v>1.7076909060372032E-3</c:v>
                </c:pt>
                <c:pt idx="85">
                  <c:v>1.0000000000000001E-5</c:v>
                </c:pt>
                <c:pt idx="86">
                  <c:v>1.0000000000000001E-5</c:v>
                </c:pt>
                <c:pt idx="87">
                  <c:v>1.0000000000000001E-5</c:v>
                </c:pt>
                <c:pt idx="88">
                  <c:v>1.0000000000000001E-5</c:v>
                </c:pt>
                <c:pt idx="89">
                  <c:v>5.6692386180065869E-3</c:v>
                </c:pt>
                <c:pt idx="90">
                  <c:v>1.0000000000000001E-5</c:v>
                </c:pt>
                <c:pt idx="91">
                  <c:v>1.0000000000000001E-5</c:v>
                </c:pt>
                <c:pt idx="92">
                  <c:v>2.2510905481141386E-3</c:v>
                </c:pt>
                <c:pt idx="93">
                  <c:v>8.6630188440256657E-4</c:v>
                </c:pt>
                <c:pt idx="94">
                  <c:v>1.0000000000000001E-5</c:v>
                </c:pt>
                <c:pt idx="95">
                  <c:v>2.2861512576683855E-3</c:v>
                </c:pt>
                <c:pt idx="96">
                  <c:v>1.0065318563041213E-3</c:v>
                </c:pt>
                <c:pt idx="97">
                  <c:v>2.0020170617866947E-4</c:v>
                </c:pt>
                <c:pt idx="98">
                  <c:v>4.2318598089861759E-3</c:v>
                </c:pt>
                <c:pt idx="99">
                  <c:v>4.5123271049695322E-3</c:v>
                </c:pt>
                <c:pt idx="100">
                  <c:v>2.0757961905682131E-3</c:v>
                </c:pt>
                <c:pt idx="101">
                  <c:v>4.2318598089861759E-3</c:v>
                </c:pt>
                <c:pt idx="102">
                  <c:v>1.0000000000000001E-5</c:v>
                </c:pt>
                <c:pt idx="103">
                  <c:v>2.2686163077786071E-3</c:v>
                </c:pt>
                <c:pt idx="104">
                  <c:v>1.5324057387165874E-3</c:v>
                </c:pt>
                <c:pt idx="105">
                  <c:v>2.8996631286285048E-3</c:v>
                </c:pt>
                <c:pt idx="106">
                  <c:v>1.8654503136933506E-3</c:v>
                </c:pt>
                <c:pt idx="107">
                  <c:v>1.0000000000000001E-5</c:v>
                </c:pt>
                <c:pt idx="108">
                  <c:v>3.2853033630492927E-3</c:v>
                </c:pt>
                <c:pt idx="109">
                  <c:v>3.3203548823782306E-3</c:v>
                </c:pt>
                <c:pt idx="110">
                  <c:v>5.1258389759296519E-3</c:v>
                </c:pt>
                <c:pt idx="111">
                  <c:v>2.478971374878779E-3</c:v>
                </c:pt>
                <c:pt idx="112">
                  <c:v>6.0336770026392633E-4</c:v>
                </c:pt>
                <c:pt idx="113">
                  <c:v>5.2485468642568612E-3</c:v>
                </c:pt>
                <c:pt idx="114">
                  <c:v>1.0000000000000001E-5</c:v>
                </c:pt>
                <c:pt idx="115">
                  <c:v>1.9706232521307819E-3</c:v>
                </c:pt>
                <c:pt idx="116">
                  <c:v>1.5324057387165874E-3</c:v>
                </c:pt>
                <c:pt idx="117">
                  <c:v>1.0941790350770838E-3</c:v>
                </c:pt>
                <c:pt idx="118">
                  <c:v>1.4761431793742285E-4</c:v>
                </c:pt>
                <c:pt idx="119">
                  <c:v>1.6200437272642408E-3</c:v>
                </c:pt>
                <c:pt idx="120">
                  <c:v>2.0407446712392757E-3</c:v>
                </c:pt>
                <c:pt idx="121">
                  <c:v>3.530700759253093E-3</c:v>
                </c:pt>
                <c:pt idx="122">
                  <c:v>1.4272328002791559E-3</c:v>
                </c:pt>
                <c:pt idx="123">
                  <c:v>7.2607007445595019E-4</c:v>
                </c:pt>
                <c:pt idx="124">
                  <c:v>1.0000000000000001E-5</c:v>
                </c:pt>
              </c:numCache>
            </c:numRef>
          </c:yVal>
          <c:smooth val="0"/>
        </c:ser>
        <c:dLbls>
          <c:showLegendKey val="0"/>
          <c:showVal val="0"/>
          <c:showCatName val="0"/>
          <c:showSerName val="0"/>
          <c:showPercent val="0"/>
          <c:showBubbleSize val="0"/>
        </c:dLbls>
        <c:axId val="129387136"/>
        <c:axId val="129393792"/>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Calc!$H$9:$H$133</c:f>
              <c:numCache>
                <c:formatCode>0.000E+00</c:formatCode>
                <c:ptCount val="125"/>
                <c:pt idx="0">
                  <c:v>6.5663989307646817E-3</c:v>
                </c:pt>
                <c:pt idx="1">
                  <c:v>9.5279411406029718E-3</c:v>
                </c:pt>
                <c:pt idx="2">
                  <c:v>8.2712266979168697E-3</c:v>
                </c:pt>
                <c:pt idx="3">
                  <c:v>7.0509923747263184E-3</c:v>
                </c:pt>
                <c:pt idx="4">
                  <c:v>5.9888856046642971E-3</c:v>
                </c:pt>
                <c:pt idx="5">
                  <c:v>5.0633329556809617E-3</c:v>
                </c:pt>
                <c:pt idx="6">
                  <c:v>4.2773942139818708E-3</c:v>
                </c:pt>
                <c:pt idx="7">
                  <c:v>3.6339903544801849E-3</c:v>
                </c:pt>
                <c:pt idx="8">
                  <c:v>3.0876728156178854E-3</c:v>
                </c:pt>
                <c:pt idx="9">
                  <c:v>2.6179876599104687E-3</c:v>
                </c:pt>
                <c:pt idx="10">
                  <c:v>2.2279966127750073E-3</c:v>
                </c:pt>
                <c:pt idx="11">
                  <c:v>1.912574124933758E-3</c:v>
                </c:pt>
                <c:pt idx="12">
                  <c:v>1.6338993634735163E-3</c:v>
                </c:pt>
                <c:pt idx="13">
                  <c:v>1.4053268958266266E-3</c:v>
                </c:pt>
                <c:pt idx="14">
                  <c:v>1.2025090139614128E-3</c:v>
                </c:pt>
                <c:pt idx="15">
                  <c:v>1.0386399419013773E-3</c:v>
                </c:pt>
                <c:pt idx="16">
                  <c:v>8.9172851774473733E-4</c:v>
                </c:pt>
                <c:pt idx="17">
                  <c:v>7.7365129303221675E-4</c:v>
                </c:pt>
                <c:pt idx="18">
                  <c:v>6.6795048159069143E-4</c:v>
                </c:pt>
                <c:pt idx="19">
                  <c:v>5.7696556497626589E-4</c:v>
                </c:pt>
                <c:pt idx="20">
                  <c:v>5.0695655563502001E-4</c:v>
                </c:pt>
                <c:pt idx="21">
                  <c:v>4.4017010574039922E-4</c:v>
                </c:pt>
                <c:pt idx="22">
                  <c:v>3.7860338802293142E-4</c:v>
                </c:pt>
                <c:pt idx="23">
                  <c:v>3.3303435086410454E-4</c:v>
                </c:pt>
                <c:pt idx="24">
                  <c:v>2.8802667133854404E-4</c:v>
                </c:pt>
                <c:pt idx="25">
                  <c:v>2.6313348729809644E-4</c:v>
                </c:pt>
                <c:pt idx="26">
                  <c:v>2.2451726074922129E-4</c:v>
                </c:pt>
                <c:pt idx="27">
                  <c:v>1.9603813313107121E-4</c:v>
                </c:pt>
                <c:pt idx="28">
                  <c:v>1.7844368177831471E-4</c:v>
                </c:pt>
                <c:pt idx="29">
                  <c:v>1.5883946270531246E-4</c:v>
                </c:pt>
                <c:pt idx="30">
                  <c:v>1.4139383865967997E-4</c:v>
                </c:pt>
                <c:pt idx="31">
                  <c:v>1.2572286678542294E-4</c:v>
                </c:pt>
                <c:pt idx="32">
                  <c:v>1.0862996654404516E-4</c:v>
                </c:pt>
                <c:pt idx="33">
                  <c:v>1.018277341729712E-4</c:v>
                </c:pt>
                <c:pt idx="34">
                  <c:v>9.7003934515837997E-5</c:v>
                </c:pt>
                <c:pt idx="35">
                  <c:v>8.0418362493686613E-5</c:v>
                </c:pt>
                <c:pt idx="36">
                  <c:v>7.073424222785174E-5</c:v>
                </c:pt>
                <c:pt idx="37">
                  <c:v>6.8483191143553501E-5</c:v>
                </c:pt>
                <c:pt idx="38">
                  <c:v>4.6548950743900697E-5</c:v>
                </c:pt>
                <c:pt idx="39">
                  <c:v>4.5460561198182314E-5</c:v>
                </c:pt>
                <c:pt idx="40">
                  <c:v>4.3809335660387194E-5</c:v>
                </c:pt>
                <c:pt idx="41">
                  <c:v>4.1193574160769408E-5</c:v>
                </c:pt>
                <c:pt idx="42">
                  <c:v>3.6091746827428273E-5</c:v>
                </c:pt>
                <c:pt idx="43">
                  <c:v>2.9054611967539723E-5</c:v>
                </c:pt>
                <c:pt idx="44">
                  <c:v>2.562876220228022E-5</c:v>
                </c:pt>
                <c:pt idx="45">
                  <c:v>2.3025377111088319E-5</c:v>
                </c:pt>
                <c:pt idx="46">
                  <c:v>1.7163096409950063E-5</c:v>
                </c:pt>
                <c:pt idx="47">
                  <c:v>2.2073071829817326E-5</c:v>
                </c:pt>
                <c:pt idx="48">
                  <c:v>1.5512024100022836E-5</c:v>
                </c:pt>
                <c:pt idx="49">
                  <c:v>1.8832714933934847E-5</c:v>
                </c:pt>
                <c:pt idx="50">
                  <c:v>-3.1568278526517002E-6</c:v>
                </c:pt>
                <c:pt idx="51">
                  <c:v>-8.7840240333286745E-6</c:v>
                </c:pt>
                <c:pt idx="52">
                  <c:v>-1.4596737083337474E-5</c:v>
                </c:pt>
                <c:pt idx="53">
                  <c:v>-9.7548910447317616E-6</c:v>
                </c:pt>
                <c:pt idx="54">
                  <c:v>-1.7905019789578314E-5</c:v>
                </c:pt>
                <c:pt idx="55">
                  <c:v>-1.801015930517208E-5</c:v>
                </c:pt>
                <c:pt idx="56">
                  <c:v>-1.0255756565921703E-5</c:v>
                </c:pt>
                <c:pt idx="57">
                  <c:v>-1.6754871582744246E-5</c:v>
                </c:pt>
                <c:pt idx="58">
                  <c:v>-1.1399748633782181E-5</c:v>
                </c:pt>
                <c:pt idx="59">
                  <c:v>-1.1319378073901265E-5</c:v>
                </c:pt>
                <c:pt idx="60">
                  <c:v>-1.211089340167476E-5</c:v>
                </c:pt>
                <c:pt idx="61">
                  <c:v>-1.4374137892132766E-5</c:v>
                </c:pt>
                <c:pt idx="62">
                  <c:v>-9.8167170952609406E-6</c:v>
                </c:pt>
                <c:pt idx="63">
                  <c:v>-1.828842399068803E-5</c:v>
                </c:pt>
                <c:pt idx="64">
                  <c:v>-1.7861738488757217E-5</c:v>
                </c:pt>
                <c:pt idx="65">
                  <c:v>-7.1267795972371206E-6</c:v>
                </c:pt>
                <c:pt idx="66">
                  <c:v>-1.402785442256721E-5</c:v>
                </c:pt>
                <c:pt idx="67">
                  <c:v>-1.0509285443605076E-5</c:v>
                </c:pt>
                <c:pt idx="68">
                  <c:v>-8.1594735215559377E-6</c:v>
                </c:pt>
                <c:pt idx="69">
                  <c:v>-1.4627666243674509E-5</c:v>
                </c:pt>
                <c:pt idx="70">
                  <c:v>-1.6408588528596391E-5</c:v>
                </c:pt>
                <c:pt idx="71">
                  <c:v>-2.2889106524440206E-5</c:v>
                </c:pt>
                <c:pt idx="72">
                  <c:v>-1.8504862859265725E-5</c:v>
                </c:pt>
                <c:pt idx="73">
                  <c:v>-1.7824649493153322E-5</c:v>
                </c:pt>
                <c:pt idx="74">
                  <c:v>-2.2202702368606664E-5</c:v>
                </c:pt>
                <c:pt idx="75">
                  <c:v>-1.5988094934367425E-5</c:v>
                </c:pt>
                <c:pt idx="76">
                  <c:v>-1.2747794893366859E-5</c:v>
                </c:pt>
                <c:pt idx="77">
                  <c:v>-1.7193909518466166E-5</c:v>
                </c:pt>
                <c:pt idx="78">
                  <c:v>-1.5518127585913144E-5</c:v>
                </c:pt>
                <c:pt idx="79">
                  <c:v>-4.9191931186728932E-6</c:v>
                </c:pt>
                <c:pt idx="80">
                  <c:v>-1.3069374143581669E-5</c:v>
                </c:pt>
                <c:pt idx="81">
                  <c:v>-1.9185043571803839E-5</c:v>
                </c:pt>
                <c:pt idx="82">
                  <c:v>-1.078758360145704E-5</c:v>
                </c:pt>
                <c:pt idx="83">
                  <c:v>-1.7008399630133453E-5</c:v>
                </c:pt>
                <c:pt idx="84">
                  <c:v>-1.1393588728141057E-5</c:v>
                </c:pt>
                <c:pt idx="85">
                  <c:v>-1.0818480400583141E-5</c:v>
                </c:pt>
                <c:pt idx="86">
                  <c:v>-1.162238057917514E-5</c:v>
                </c:pt>
                <c:pt idx="87">
                  <c:v>-1.1764609537182058E-5</c:v>
                </c:pt>
                <c:pt idx="88">
                  <c:v>-1.4058751171254491E-5</c:v>
                </c:pt>
                <c:pt idx="89">
                  <c:v>-1.1375011749421848E-5</c:v>
                </c:pt>
                <c:pt idx="90">
                  <c:v>-6.1250144283847563E-6</c:v>
                </c:pt>
                <c:pt idx="91">
                  <c:v>-1.3496028255392811E-5</c:v>
                </c:pt>
                <c:pt idx="92">
                  <c:v>-1.6173604918068296E-5</c:v>
                </c:pt>
                <c:pt idx="93">
                  <c:v>-6.3043654126362925E-6</c:v>
                </c:pt>
                <c:pt idx="94">
                  <c:v>-1.9030462961325267E-5</c:v>
                </c:pt>
                <c:pt idx="95">
                  <c:v>-1.6192149431396019E-5</c:v>
                </c:pt>
                <c:pt idx="96">
                  <c:v>-1.1634732809580328E-5</c:v>
                </c:pt>
                <c:pt idx="97">
                  <c:v>-1.5833481654382864E-5</c:v>
                </c:pt>
                <c:pt idx="98">
                  <c:v>-1.2772531760622818E-5</c:v>
                </c:pt>
                <c:pt idx="99">
                  <c:v>-1.3662993935271983E-5</c:v>
                </c:pt>
                <c:pt idx="100">
                  <c:v>-1.5307880705597854E-5</c:v>
                </c:pt>
                <c:pt idx="101">
                  <c:v>-1.6909452370476863E-5</c:v>
                </c:pt>
                <c:pt idx="102">
                  <c:v>-1.0595880785578549E-5</c:v>
                </c:pt>
                <c:pt idx="103">
                  <c:v>-1.1770769441678264E-5</c:v>
                </c:pt>
                <c:pt idx="104">
                  <c:v>-1.3409465460488545E-5</c:v>
                </c:pt>
                <c:pt idx="105">
                  <c:v>-1.2562284589422157E-5</c:v>
                </c:pt>
                <c:pt idx="106">
                  <c:v>-1.0843217291882368E-5</c:v>
                </c:pt>
                <c:pt idx="107">
                  <c:v>-1.7144435893873267E-5</c:v>
                </c:pt>
                <c:pt idx="108">
                  <c:v>-9.5075219821924573E-6</c:v>
                </c:pt>
                <c:pt idx="109">
                  <c:v>-1.3953643866825016E-5</c:v>
                </c:pt>
                <c:pt idx="110">
                  <c:v>-8.2584212174816041E-6</c:v>
                </c:pt>
                <c:pt idx="111">
                  <c:v>-1.3353799421481072E-5</c:v>
                </c:pt>
                <c:pt idx="112">
                  <c:v>-6.4218578056732256E-6</c:v>
                </c:pt>
                <c:pt idx="113">
                  <c:v>-1.2890023770723014E-5</c:v>
                </c:pt>
                <c:pt idx="114">
                  <c:v>-1.7843193991035067E-5</c:v>
                </c:pt>
                <c:pt idx="115">
                  <c:v>-1.3700115429178539E-5</c:v>
                </c:pt>
                <c:pt idx="116">
                  <c:v>-8.0172443051654274E-6</c:v>
                </c:pt>
                <c:pt idx="117">
                  <c:v>-1.3675378573489716E-5</c:v>
                </c:pt>
                <c:pt idx="118">
                  <c:v>-1.9123217813145355E-5</c:v>
                </c:pt>
                <c:pt idx="119">
                  <c:v>-9.6188542744526928E-6</c:v>
                </c:pt>
                <c:pt idx="120">
                  <c:v>-9.3776775274626023E-6</c:v>
                </c:pt>
                <c:pt idx="121">
                  <c:v>-6.5517024538039315E-6</c:v>
                </c:pt>
                <c:pt idx="122">
                  <c:v>-1.1115290655276666E-5</c:v>
                </c:pt>
                <c:pt idx="123">
                  <c:v>-3.3794380282850534E-6</c:v>
                </c:pt>
                <c:pt idx="124">
                  <c:v>-1.0478388639656444E-5</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3.8390000000000001E-4</c:v>
                </c:pt>
              </c:numCache>
            </c:numRef>
          </c:xVal>
          <c:yVal>
            <c:numRef>
              <c:f>[0]!FirstPoint</c:f>
              <c:numCache>
                <c:formatCode>0.00E+00</c:formatCode>
                <c:ptCount val="1"/>
                <c:pt idx="0">
                  <c:v>9.5279411406029718E-3</c:v>
                </c:pt>
              </c:numCache>
            </c:numRef>
          </c:yVal>
          <c:smooth val="0"/>
        </c:ser>
        <c:dLbls>
          <c:showLegendKey val="0"/>
          <c:showVal val="0"/>
          <c:showCatName val="0"/>
          <c:showSerName val="0"/>
          <c:showPercent val="0"/>
          <c:showBubbleSize val="0"/>
        </c:dLbls>
        <c:axId val="129406080"/>
        <c:axId val="129395712"/>
      </c:scatterChart>
      <c:valAx>
        <c:axId val="129387136"/>
        <c:scaling>
          <c:orientation val="minMax"/>
        </c:scaling>
        <c:delete val="0"/>
        <c:axPos val="b"/>
        <c:majorGridlines/>
        <c:title>
          <c:tx>
            <c:rich>
              <a:bodyPr/>
              <a:lstStyle/>
              <a:p>
                <a:pPr>
                  <a:defRPr sz="1200" baseline="0">
                    <a:latin typeface="Arial" pitchFamily="34" charset="0"/>
                    <a:cs typeface="Arial" pitchFamily="34" charset="0"/>
                  </a:defRPr>
                </a:pPr>
                <a:r>
                  <a:rPr lang="en-US" sz="1200" baseline="0">
                    <a:latin typeface="Arial" pitchFamily="34" charset="0"/>
                    <a:cs typeface="Arial" pitchFamily="34" charset="0"/>
                  </a:rPr>
                  <a:t>Time (seconds)</a:t>
                </a:r>
              </a:p>
            </c:rich>
          </c:tx>
          <c:layout/>
          <c:overlay val="0"/>
        </c:title>
        <c:numFmt formatCode="0.0E+00" sourceLinked="0"/>
        <c:majorTickMark val="out"/>
        <c:minorTickMark val="none"/>
        <c:tickLblPos val="nextTo"/>
        <c:txPr>
          <a:bodyPr/>
          <a:lstStyle/>
          <a:p>
            <a:pPr>
              <a:defRPr sz="1000" b="1" baseline="0">
                <a:latin typeface="Arial" pitchFamily="34" charset="0"/>
                <a:cs typeface="Arial" pitchFamily="34" charset="0"/>
              </a:defRPr>
            </a:pPr>
            <a:endParaRPr lang="en-US"/>
          </a:p>
        </c:txPr>
        <c:crossAx val="129393792"/>
        <c:crosses val="autoZero"/>
        <c:crossBetween val="midCat"/>
      </c:valAx>
      <c:valAx>
        <c:axId val="129393792"/>
        <c:scaling>
          <c:orientation val="minMax"/>
          <c:min val="0"/>
        </c:scaling>
        <c:delete val="0"/>
        <c:axPos val="l"/>
        <c:majorGridlines/>
        <c:title>
          <c:tx>
            <c:rich>
              <a:bodyPr rot="-5400000" vert="horz"/>
              <a:lstStyle/>
              <a:p>
                <a:pPr>
                  <a:defRPr sz="1200" baseline="0">
                    <a:solidFill>
                      <a:srgbClr val="2004EC"/>
                    </a:solidFill>
                    <a:latin typeface="Arial" pitchFamily="34" charset="0"/>
                    <a:cs typeface="Arial" pitchFamily="34" charset="0"/>
                  </a:defRPr>
                </a:pPr>
                <a:r>
                  <a:rPr lang="en-US" sz="1200" baseline="0">
                    <a:solidFill>
                      <a:srgbClr val="2004EC"/>
                    </a:solidFill>
                    <a:latin typeface="Arial" pitchFamily="34" charset="0"/>
                    <a:cs typeface="Arial" pitchFamily="34" charset="0"/>
                  </a:rPr>
                  <a:t>Illumination (suns)</a:t>
                </a:r>
              </a:p>
            </c:rich>
          </c:tx>
          <c:layout/>
          <c:overlay val="0"/>
        </c:title>
        <c:numFmt formatCode="0" sourceLinked="0"/>
        <c:majorTickMark val="out"/>
        <c:minorTickMark val="none"/>
        <c:tickLblPos val="nextTo"/>
        <c:spPr>
          <a:ln>
            <a:solidFill>
              <a:srgbClr val="2004EC"/>
            </a:solidFill>
          </a:ln>
        </c:spPr>
        <c:txPr>
          <a:bodyPr/>
          <a:lstStyle/>
          <a:p>
            <a:pPr>
              <a:defRPr sz="1000" b="1" baseline="0">
                <a:solidFill>
                  <a:srgbClr val="2004EC"/>
                </a:solidFill>
                <a:latin typeface="Arial" pitchFamily="34" charset="0"/>
                <a:cs typeface="Arial" pitchFamily="34" charset="0"/>
              </a:defRPr>
            </a:pPr>
            <a:endParaRPr lang="en-US"/>
          </a:p>
        </c:txPr>
        <c:crossAx val="129387136"/>
        <c:crosses val="autoZero"/>
        <c:crossBetween val="midCat"/>
      </c:valAx>
      <c:valAx>
        <c:axId val="129395712"/>
        <c:scaling>
          <c:orientation val="minMax"/>
          <c:min val="0"/>
        </c:scaling>
        <c:delete val="0"/>
        <c:axPos val="r"/>
        <c:title>
          <c:tx>
            <c:rich>
              <a:bodyPr rot="-5400000" vert="horz"/>
              <a:lstStyle/>
              <a:p>
                <a:pPr>
                  <a:defRPr>
                    <a:solidFill>
                      <a:srgbClr val="FF0000"/>
                    </a:solidFill>
                    <a:latin typeface="Arial" pitchFamily="34" charset="0"/>
                    <a:cs typeface="Arial" pitchFamily="34" charset="0"/>
                  </a:defRPr>
                </a:pPr>
                <a:r>
                  <a:rPr lang="en-US">
                    <a:solidFill>
                      <a:srgbClr val="FF0000"/>
                    </a:solidFill>
                    <a:latin typeface="Arial" pitchFamily="34" charset="0"/>
                    <a:cs typeface="Arial" pitchFamily="34" charset="0"/>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sz="1000" b="1" baseline="0">
                <a:solidFill>
                  <a:srgbClr val="FF0000"/>
                </a:solidFill>
                <a:latin typeface="Arial" pitchFamily="34" charset="0"/>
                <a:cs typeface="Arial" pitchFamily="34" charset="0"/>
              </a:defRPr>
            </a:pPr>
            <a:endParaRPr lang="en-US"/>
          </a:p>
        </c:txPr>
        <c:crossAx val="129406080"/>
        <c:crosses val="max"/>
        <c:crossBetween val="midCat"/>
      </c:valAx>
      <c:valAx>
        <c:axId val="129406080"/>
        <c:scaling>
          <c:orientation val="minMax"/>
        </c:scaling>
        <c:delete val="1"/>
        <c:axPos val="b"/>
        <c:numFmt formatCode="0.00E+00" sourceLinked="1"/>
        <c:majorTickMark val="out"/>
        <c:minorTickMark val="none"/>
        <c:tickLblPos val="none"/>
        <c:crossAx val="129395712"/>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Inverse</a:t>
            </a:r>
            <a:r>
              <a:rPr lang="en-US" sz="1200" baseline="0">
                <a:latin typeface="Arial" pitchFamily="34" charset="0"/>
                <a:cs typeface="Arial" pitchFamily="34" charset="0"/>
              </a:rPr>
              <a:t>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numCache>
            </c:numRef>
          </c:xVal>
          <c:yVal>
            <c:numRef>
              <c:f>Calc!$S$15:$S$130</c:f>
              <c:numCache>
                <c:formatCode>0</c:formatCode>
                <c:ptCount val="116"/>
                <c:pt idx="0">
                  <c:v>306188.92995005049</c:v>
                </c:pt>
                <c:pt idx="1">
                  <c:v>313615.34404286067</c:v>
                </c:pt>
                <c:pt idx="2">
                  <c:v>321565.67772996571</c:v>
                </c:pt>
                <c:pt idx="3">
                  <c:v>331080.0812768318</c:v>
                </c:pt>
                <c:pt idx="4">
                  <c:v>340293.01595642668</c:v>
                </c:pt>
                <c:pt idx="5">
                  <c:v>347654.41384639259</c:v>
                </c:pt>
                <c:pt idx="6">
                  <c:v>357286.0209815795</c:v>
                </c:pt>
                <c:pt idx="7">
                  <c:v>365439.73835087032</c:v>
                </c:pt>
                <c:pt idx="8">
                  <c:v>376060.32347413921</c:v>
                </c:pt>
                <c:pt idx="9">
                  <c:v>383697.54148827941</c:v>
                </c:pt>
                <c:pt idx="10">
                  <c:v>394650.95872678416</c:v>
                </c:pt>
                <c:pt idx="11">
                  <c:v>401957.59562387958</c:v>
                </c:pt>
                <c:pt idx="12">
                  <c:v>412425.85235884879</c:v>
                </c:pt>
                <c:pt idx="13">
                  <c:v>423087.56408582121</c:v>
                </c:pt>
                <c:pt idx="14">
                  <c:v>426889.98143353639</c:v>
                </c:pt>
                <c:pt idx="15">
                  <c:v>436347.97819264926</c:v>
                </c:pt>
                <c:pt idx="16">
                  <c:v>449887.24673740246</c:v>
                </c:pt>
                <c:pt idx="17">
                  <c:v>454148.1533335328</c:v>
                </c:pt>
                <c:pt idx="18">
                  <c:v>468376.42876632442</c:v>
                </c:pt>
                <c:pt idx="19">
                  <c:v>455911.12262532907</c:v>
                </c:pt>
                <c:pt idx="20">
                  <c:v>474986.17763560935</c:v>
                </c:pt>
                <c:pt idx="21">
                  <c:v>484503.6403075484</c:v>
                </c:pt>
                <c:pt idx="22">
                  <c:v>473087.28491373407</c:v>
                </c:pt>
                <c:pt idx="23">
                  <c:v>473251.53716280812</c:v>
                </c:pt>
                <c:pt idx="24">
                  <c:v>473083.35009425745</c:v>
                </c:pt>
                <c:pt idx="25">
                  <c:v>473161.38241363392</c:v>
                </c:pt>
                <c:pt idx="26">
                  <c:v>486345.502489076</c:v>
                </c:pt>
                <c:pt idx="27">
                  <c:v>461839.74601692671</c:v>
                </c:pt>
                <c:pt idx="28">
                  <c:v>430192.48676529177</c:v>
                </c:pt>
                <c:pt idx="29">
                  <c:v>457709.84187283978</c:v>
                </c:pt>
                <c:pt idx="30">
                  <c:v>461393.52660489042</c:v>
                </c:pt>
                <c:pt idx="31">
                  <c:v>421011.37862944516</c:v>
                </c:pt>
                <c:pt idx="32">
                  <c:v>550600.57882365026</c:v>
                </c:pt>
                <c:pt idx="33">
                  <c:v>494938.71883156954</c:v>
                </c:pt>
                <c:pt idx="34">
                  <c:v>453237.12317998323</c:v>
                </c:pt>
                <c:pt idx="35">
                  <c:v>423640.16136765538</c:v>
                </c:pt>
                <c:pt idx="36">
                  <c:v>421814.00365224195</c:v>
                </c:pt>
                <c:pt idx="37">
                  <c:v>460544.57096246316</c:v>
                </c:pt>
                <c:pt idx="38">
                  <c:v>456916.43973793142</c:v>
                </c:pt>
                <c:pt idx="39">
                  <c:v>443033.83929289004</c:v>
                </c:pt>
                <c:pt idx="40">
                  <c:v>516569.46771561657</c:v>
                </c:pt>
                <c:pt idx="41">
                  <c:v>354901.45909938781</c:v>
                </c:pt>
                <c:pt idx="42">
                  <c:v>435296.41881281725</c:v>
                </c:pt>
                <c:pt idx="43">
                  <c:v>203503.86605386264</c:v>
                </c:pt>
                <c:pt idx="44">
                  <c:v>246507595388.80075</c:v>
                </c:pt>
                <c:pt idx="45">
                  <c:v>35724531032.11541</c:v>
                </c:pt>
                <c:pt idx="46">
                  <c:v>10059246460.05397</c:v>
                </c:pt>
                <c:pt idx="47">
                  <c:v>311524290.69666672</c:v>
                </c:pt>
                <c:pt idx="48">
                  <c:v>49376357333.678902</c:v>
                </c:pt>
                <c:pt idx="49">
                  <c:v>17158173233.03961</c:v>
                </c:pt>
                <c:pt idx="50">
                  <c:v>35178561047.276024</c:v>
                </c:pt>
                <c:pt idx="51">
                  <c:v>130740772562.53618</c:v>
                </c:pt>
                <c:pt idx="52">
                  <c:v>311524290.69666672</c:v>
                </c:pt>
                <c:pt idx="53">
                  <c:v>77771949906.484634</c:v>
                </c:pt>
                <c:pt idx="54">
                  <c:v>41731346056.717026</c:v>
                </c:pt>
                <c:pt idx="55">
                  <c:v>23710986872.26482</c:v>
                </c:pt>
                <c:pt idx="56">
                  <c:v>75587497371.442902</c:v>
                </c:pt>
                <c:pt idx="57">
                  <c:v>311524290.69666672</c:v>
                </c:pt>
                <c:pt idx="58">
                  <c:v>38454953551.996529</c:v>
                </c:pt>
                <c:pt idx="59">
                  <c:v>13335667594.558681</c:v>
                </c:pt>
                <c:pt idx="60">
                  <c:v>41185089774.035553</c:v>
                </c:pt>
                <c:pt idx="61">
                  <c:v>97430304934.807617</c:v>
                </c:pt>
                <c:pt idx="62">
                  <c:v>8967106081.8857346</c:v>
                </c:pt>
                <c:pt idx="63">
                  <c:v>311524290.69666672</c:v>
                </c:pt>
                <c:pt idx="64">
                  <c:v>311524290.69666672</c:v>
                </c:pt>
                <c:pt idx="65">
                  <c:v>311524290.69666672</c:v>
                </c:pt>
                <c:pt idx="66">
                  <c:v>311524290.69666672</c:v>
                </c:pt>
                <c:pt idx="67">
                  <c:v>311524290.69666672</c:v>
                </c:pt>
                <c:pt idx="68">
                  <c:v>311524290.69666672</c:v>
                </c:pt>
                <c:pt idx="69">
                  <c:v>311524290.69666672</c:v>
                </c:pt>
                <c:pt idx="70">
                  <c:v>311524290.69666672</c:v>
                </c:pt>
                <c:pt idx="71">
                  <c:v>311524290.69666672</c:v>
                </c:pt>
                <c:pt idx="72">
                  <c:v>311524290.69666672</c:v>
                </c:pt>
                <c:pt idx="73">
                  <c:v>103437119959.40923</c:v>
                </c:pt>
                <c:pt idx="74">
                  <c:v>71765134881.883011</c:v>
                </c:pt>
                <c:pt idx="75">
                  <c:v>19888509863.568096</c:v>
                </c:pt>
                <c:pt idx="76">
                  <c:v>311524290.69666672</c:v>
                </c:pt>
                <c:pt idx="77">
                  <c:v>311524290.69666672</c:v>
                </c:pt>
                <c:pt idx="78">
                  <c:v>53198719823.238777</c:v>
                </c:pt>
                <c:pt idx="79">
                  <c:v>311524290.69666672</c:v>
                </c:pt>
                <c:pt idx="80">
                  <c:v>311524290.69666672</c:v>
                </c:pt>
                <c:pt idx="81">
                  <c:v>311524290.69666672</c:v>
                </c:pt>
                <c:pt idx="82">
                  <c:v>311524290.69666672</c:v>
                </c:pt>
                <c:pt idx="83">
                  <c:v>176610553926.46527</c:v>
                </c:pt>
                <c:pt idx="84">
                  <c:v>311524290.69666672</c:v>
                </c:pt>
                <c:pt idx="85">
                  <c:v>311524290.69666672</c:v>
                </c:pt>
                <c:pt idx="86">
                  <c:v>70126938629.522766</c:v>
                </c:pt>
                <c:pt idx="87">
                  <c:v>26987408006.769527</c:v>
                </c:pt>
                <c:pt idx="88">
                  <c:v>311524290.69666672</c:v>
                </c:pt>
                <c:pt idx="89">
                  <c:v>71219164897.04361</c:v>
                </c:pt>
                <c:pt idx="90">
                  <c:v>31355912259.874065</c:v>
                </c:pt>
                <c:pt idx="91">
                  <c:v>6236769451.3572474</c:v>
                </c:pt>
                <c:pt idx="92">
                  <c:v>131832712532.21497</c:v>
                </c:pt>
                <c:pt idx="93">
                  <c:v>140569950076.69769</c:v>
                </c:pt>
                <c:pt idx="94">
                  <c:v>64666093589.760521</c:v>
                </c:pt>
                <c:pt idx="95">
                  <c:v>131832712532.21497</c:v>
                </c:pt>
                <c:pt idx="96">
                  <c:v>311524290.69666672</c:v>
                </c:pt>
                <c:pt idx="97">
                  <c:v>70672908614.362137</c:v>
                </c:pt>
                <c:pt idx="98">
                  <c:v>47738161081.318642</c:v>
                </c:pt>
                <c:pt idx="99">
                  <c:v>90331549940.527237</c:v>
                </c:pt>
                <c:pt idx="100">
                  <c:v>58113308580.31955</c:v>
                </c:pt>
                <c:pt idx="101">
                  <c:v>311524290.69666672</c:v>
                </c:pt>
                <c:pt idx="102">
                  <c:v>102345179989.73042</c:v>
                </c:pt>
                <c:pt idx="103">
                  <c:v>103437119959.40923</c:v>
                </c:pt>
                <c:pt idx="104">
                  <c:v>159682335120.1813</c:v>
                </c:pt>
                <c:pt idx="105">
                  <c:v>77225979921.645218</c:v>
                </c:pt>
                <c:pt idx="106">
                  <c:v>18796369485.399864</c:v>
                </c:pt>
                <c:pt idx="107">
                  <c:v>163504983907.58328</c:v>
                </c:pt>
                <c:pt idx="108">
                  <c:v>311524290.69666672</c:v>
                </c:pt>
                <c:pt idx="109">
                  <c:v>61389701085.040031</c:v>
                </c:pt>
                <c:pt idx="110">
                  <c:v>47738161081.318642</c:v>
                </c:pt>
                <c:pt idx="111">
                  <c:v>34086334779.755173</c:v>
                </c:pt>
                <c:pt idx="112">
                  <c:v>4598544569.2127886</c:v>
                </c:pt>
                <c:pt idx="113">
                  <c:v>50468297303.357666</c:v>
                </c:pt>
                <c:pt idx="114">
                  <c:v>63574153620.081764</c:v>
                </c:pt>
                <c:pt idx="115">
                  <c:v>109989904968.8502</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280663796725105.28</c:v>
                </c:pt>
                <c:pt idx="1">
                  <c:v>238256341837979.56</c:v>
                </c:pt>
                <c:pt idx="2">
                  <c:v>202297972956816.41</c:v>
                </c:pt>
                <c:pt idx="3">
                  <c:v>171421044127332.81</c:v>
                </c:pt>
                <c:pt idx="4">
                  <c:v>145810117616063.72</c:v>
                </c:pt>
                <c:pt idx="5">
                  <c:v>125114404661118.75</c:v>
                </c:pt>
                <c:pt idx="6">
                  <c:v>106843666776489.58</c:v>
                </c:pt>
                <c:pt idx="7">
                  <c:v>91867675726636.156</c:v>
                </c:pt>
                <c:pt idx="8">
                  <c:v>78586723517959.187</c:v>
                </c:pt>
                <c:pt idx="9">
                  <c:v>67861541451064.07</c:v>
                </c:pt>
                <c:pt idx="10">
                  <c:v>58250343423680.937</c:v>
                </c:pt>
                <c:pt idx="11">
                  <c:v>50528391118858.031</c:v>
                </c:pt>
                <c:pt idx="12">
                  <c:v>43618022578557.305</c:v>
                </c:pt>
                <c:pt idx="13">
                  <c:v>37671417026865.234</c:v>
                </c:pt>
                <c:pt idx="14">
                  <c:v>33096834290081.367</c:v>
                </c:pt>
                <c:pt idx="15">
                  <c:v>28733705756299.961</c:v>
                </c:pt>
                <c:pt idx="16">
                  <c:v>24712352744440.254</c:v>
                </c:pt>
                <c:pt idx="17">
                  <c:v>21736402756920.93</c:v>
                </c:pt>
                <c:pt idx="18">
                  <c:v>18797520067926.242</c:v>
                </c:pt>
                <c:pt idx="19">
                  <c:v>17172235995284.484</c:v>
                </c:pt>
                <c:pt idx="20">
                  <c:v>14651218849226.986</c:v>
                </c:pt>
                <c:pt idx="21">
                  <c:v>12792186110997.291</c:v>
                </c:pt>
                <c:pt idx="22">
                  <c:v>11643756054053.477</c:v>
                </c:pt>
                <c:pt idx="23">
                  <c:v>10364219292499.756</c:v>
                </c:pt>
                <c:pt idx="24">
                  <c:v>9225637824571.2734</c:v>
                </c:pt>
                <c:pt idx="25">
                  <c:v>8202932479457.1338</c:v>
                </c:pt>
                <c:pt idx="26">
                  <c:v>7087489213097.2432</c:v>
                </c:pt>
                <c:pt idx="27">
                  <c:v>6643608317815.708</c:v>
                </c:pt>
                <c:pt idx="28">
                  <c:v>6328836323582.5449</c:v>
                </c:pt>
                <c:pt idx="29">
                  <c:v>5246599770401.8027</c:v>
                </c:pt>
                <c:pt idx="30">
                  <c:v>4614721590341.6807</c:v>
                </c:pt>
                <c:pt idx="31">
                  <c:v>4467845846537.9961</c:v>
                </c:pt>
                <c:pt idx="32">
                  <c:v>3036745349694.7764</c:v>
                </c:pt>
                <c:pt idx="33">
                  <c:v>2965736008420.4404</c:v>
                </c:pt>
                <c:pt idx="34">
                  <c:v>2858006280961.1167</c:v>
                </c:pt>
                <c:pt idx="35">
                  <c:v>2687349222184.8081</c:v>
                </c:pt>
                <c:pt idx="36">
                  <c:v>2354500920614.0264</c:v>
                </c:pt>
                <c:pt idx="37">
                  <c:v>1895400426455.5352</c:v>
                </c:pt>
                <c:pt idx="38">
                  <c:v>1671902917853.1631</c:v>
                </c:pt>
                <c:pt idx="39">
                  <c:v>1502063516666.428</c:v>
                </c:pt>
                <c:pt idx="40">
                  <c:v>1119625946588.6301</c:v>
                </c:pt>
                <c:pt idx="41">
                  <c:v>1439937476908.6677</c:v>
                </c:pt>
                <c:pt idx="42">
                  <c:v>1011916295793.688</c:v>
                </c:pt>
                <c:pt idx="43">
                  <c:v>1228546082212.2422</c:v>
                </c:pt>
                <c:pt idx="44">
                  <c:v>100000</c:v>
                </c:pt>
                <c:pt idx="45">
                  <c:v>100000</c:v>
                </c:pt>
                <c:pt idx="46">
                  <c:v>100000</c:v>
                </c:pt>
                <c:pt idx="47">
                  <c:v>100000</c:v>
                </c:pt>
                <c:pt idx="48">
                  <c:v>100000</c:v>
                </c:pt>
                <c:pt idx="49">
                  <c:v>100000</c:v>
                </c:pt>
                <c:pt idx="50">
                  <c:v>100000</c:v>
                </c:pt>
                <c:pt idx="51">
                  <c:v>100000</c:v>
                </c:pt>
                <c:pt idx="52">
                  <c:v>100000</c:v>
                </c:pt>
                <c:pt idx="53">
                  <c:v>100000</c:v>
                </c:pt>
                <c:pt idx="54">
                  <c:v>100000</c:v>
                </c:pt>
                <c:pt idx="55">
                  <c:v>100000</c:v>
                </c:pt>
                <c:pt idx="56">
                  <c:v>100000</c:v>
                </c:pt>
                <c:pt idx="57">
                  <c:v>100000</c:v>
                </c:pt>
                <c:pt idx="58">
                  <c:v>100000</c:v>
                </c:pt>
                <c:pt idx="59">
                  <c:v>100000</c:v>
                </c:pt>
                <c:pt idx="60">
                  <c:v>100000</c:v>
                </c:pt>
                <c:pt idx="61">
                  <c:v>100000</c:v>
                </c:pt>
                <c:pt idx="62">
                  <c:v>100000</c:v>
                </c:pt>
                <c:pt idx="63">
                  <c:v>100000</c:v>
                </c:pt>
                <c:pt idx="64">
                  <c:v>100000</c:v>
                </c:pt>
                <c:pt idx="65">
                  <c:v>100000</c:v>
                </c:pt>
                <c:pt idx="66">
                  <c:v>100000</c:v>
                </c:pt>
                <c:pt idx="67">
                  <c:v>100000</c:v>
                </c:pt>
                <c:pt idx="68">
                  <c:v>100000</c:v>
                </c:pt>
                <c:pt idx="69">
                  <c:v>100000</c:v>
                </c:pt>
                <c:pt idx="70">
                  <c:v>100000</c:v>
                </c:pt>
                <c:pt idx="71">
                  <c:v>100000</c:v>
                </c:pt>
                <c:pt idx="72">
                  <c:v>100000</c:v>
                </c:pt>
                <c:pt idx="73">
                  <c:v>100000</c:v>
                </c:pt>
                <c:pt idx="74">
                  <c:v>100000</c:v>
                </c:pt>
                <c:pt idx="75">
                  <c:v>100000</c:v>
                </c:pt>
                <c:pt idx="76">
                  <c:v>100000</c:v>
                </c:pt>
                <c:pt idx="77">
                  <c:v>100000</c:v>
                </c:pt>
                <c:pt idx="78">
                  <c:v>100000</c:v>
                </c:pt>
                <c:pt idx="79">
                  <c:v>100000</c:v>
                </c:pt>
                <c:pt idx="80">
                  <c:v>100000</c:v>
                </c:pt>
                <c:pt idx="81">
                  <c:v>100000</c:v>
                </c:pt>
                <c:pt idx="82">
                  <c:v>100000</c:v>
                </c:pt>
                <c:pt idx="83">
                  <c:v>100000</c:v>
                </c:pt>
                <c:pt idx="84">
                  <c:v>100000</c:v>
                </c:pt>
                <c:pt idx="85">
                  <c:v>100000</c:v>
                </c:pt>
                <c:pt idx="86">
                  <c:v>100000</c:v>
                </c:pt>
                <c:pt idx="87">
                  <c:v>100000</c:v>
                </c:pt>
                <c:pt idx="88">
                  <c:v>100000</c:v>
                </c:pt>
                <c:pt idx="89">
                  <c:v>100000</c:v>
                </c:pt>
                <c:pt idx="90">
                  <c:v>100000</c:v>
                </c:pt>
                <c:pt idx="91">
                  <c:v>100000</c:v>
                </c:pt>
                <c:pt idx="92">
                  <c:v>100000</c:v>
                </c:pt>
                <c:pt idx="93">
                  <c:v>100000</c:v>
                </c:pt>
                <c:pt idx="94">
                  <c:v>100000</c:v>
                </c:pt>
                <c:pt idx="95">
                  <c:v>100000</c:v>
                </c:pt>
                <c:pt idx="96">
                  <c:v>100000</c:v>
                </c:pt>
                <c:pt idx="97">
                  <c:v>100000</c:v>
                </c:pt>
                <c:pt idx="98">
                  <c:v>100000</c:v>
                </c:pt>
                <c:pt idx="99">
                  <c:v>100000</c:v>
                </c:pt>
                <c:pt idx="100">
                  <c:v>100000</c:v>
                </c:pt>
                <c:pt idx="101">
                  <c:v>100000</c:v>
                </c:pt>
                <c:pt idx="102">
                  <c:v>100000</c:v>
                </c:pt>
                <c:pt idx="103">
                  <c:v>100000</c:v>
                </c:pt>
                <c:pt idx="104">
                  <c:v>100000</c:v>
                </c:pt>
                <c:pt idx="105">
                  <c:v>100000</c:v>
                </c:pt>
                <c:pt idx="106">
                  <c:v>100000</c:v>
                </c:pt>
                <c:pt idx="107">
                  <c:v>100000</c:v>
                </c:pt>
                <c:pt idx="108">
                  <c:v>100000</c:v>
                </c:pt>
                <c:pt idx="109">
                  <c:v>100000</c:v>
                </c:pt>
                <c:pt idx="110">
                  <c:v>100000</c:v>
                </c:pt>
                <c:pt idx="111">
                  <c:v>100000</c:v>
                </c:pt>
                <c:pt idx="112">
                  <c:v>100000</c:v>
                </c:pt>
                <c:pt idx="113">
                  <c:v>100000</c:v>
                </c:pt>
                <c:pt idx="114">
                  <c:v>100000</c:v>
                </c:pt>
                <c:pt idx="115">
                  <c:v>100000</c:v>
                </c:pt>
              </c:numCache>
            </c:numRef>
          </c:xVal>
          <c:yVal>
            <c:numRef>
              <c:f>Calc!$S$15:$S$130</c:f>
              <c:numCache>
                <c:formatCode>0</c:formatCode>
                <c:ptCount val="116"/>
                <c:pt idx="0">
                  <c:v>306188.92995005049</c:v>
                </c:pt>
                <c:pt idx="1">
                  <c:v>313615.34404286067</c:v>
                </c:pt>
                <c:pt idx="2">
                  <c:v>321565.67772996571</c:v>
                </c:pt>
                <c:pt idx="3">
                  <c:v>331080.0812768318</c:v>
                </c:pt>
                <c:pt idx="4">
                  <c:v>340293.01595642668</c:v>
                </c:pt>
                <c:pt idx="5">
                  <c:v>347654.41384639259</c:v>
                </c:pt>
                <c:pt idx="6">
                  <c:v>357286.0209815795</c:v>
                </c:pt>
                <c:pt idx="7">
                  <c:v>365439.73835087032</c:v>
                </c:pt>
                <c:pt idx="8">
                  <c:v>376060.32347413921</c:v>
                </c:pt>
                <c:pt idx="9">
                  <c:v>383697.54148827941</c:v>
                </c:pt>
                <c:pt idx="10">
                  <c:v>394650.95872678416</c:v>
                </c:pt>
                <c:pt idx="11">
                  <c:v>401957.59562387958</c:v>
                </c:pt>
                <c:pt idx="12">
                  <c:v>412425.85235884879</c:v>
                </c:pt>
                <c:pt idx="13">
                  <c:v>423087.56408582121</c:v>
                </c:pt>
                <c:pt idx="14">
                  <c:v>426889.98143353639</c:v>
                </c:pt>
                <c:pt idx="15">
                  <c:v>436347.97819264926</c:v>
                </c:pt>
                <c:pt idx="16">
                  <c:v>449887.24673740246</c:v>
                </c:pt>
                <c:pt idx="17">
                  <c:v>454148.1533335328</c:v>
                </c:pt>
                <c:pt idx="18">
                  <c:v>468376.42876632442</c:v>
                </c:pt>
                <c:pt idx="19">
                  <c:v>455911.12262532907</c:v>
                </c:pt>
                <c:pt idx="20">
                  <c:v>474986.17763560935</c:v>
                </c:pt>
                <c:pt idx="21">
                  <c:v>484503.6403075484</c:v>
                </c:pt>
                <c:pt idx="22">
                  <c:v>473087.28491373407</c:v>
                </c:pt>
                <c:pt idx="23">
                  <c:v>473251.53716280812</c:v>
                </c:pt>
                <c:pt idx="24">
                  <c:v>473083.35009425745</c:v>
                </c:pt>
                <c:pt idx="25">
                  <c:v>473161.38241363392</c:v>
                </c:pt>
                <c:pt idx="26">
                  <c:v>486345.502489076</c:v>
                </c:pt>
                <c:pt idx="27">
                  <c:v>461839.74601692671</c:v>
                </c:pt>
                <c:pt idx="28">
                  <c:v>430192.48676529177</c:v>
                </c:pt>
                <c:pt idx="29">
                  <c:v>457709.84187283978</c:v>
                </c:pt>
                <c:pt idx="30">
                  <c:v>461393.52660489042</c:v>
                </c:pt>
                <c:pt idx="31">
                  <c:v>421011.37862944516</c:v>
                </c:pt>
                <c:pt idx="32">
                  <c:v>550600.57882365026</c:v>
                </c:pt>
                <c:pt idx="33">
                  <c:v>494938.71883156954</c:v>
                </c:pt>
                <c:pt idx="34">
                  <c:v>453237.12317998323</c:v>
                </c:pt>
                <c:pt idx="35">
                  <c:v>423640.16136765538</c:v>
                </c:pt>
                <c:pt idx="36">
                  <c:v>421814.00365224195</c:v>
                </c:pt>
                <c:pt idx="37">
                  <c:v>460544.57096246316</c:v>
                </c:pt>
                <c:pt idx="38">
                  <c:v>456916.43973793142</c:v>
                </c:pt>
                <c:pt idx="39">
                  <c:v>443033.83929289004</c:v>
                </c:pt>
                <c:pt idx="40">
                  <c:v>516569.46771561657</c:v>
                </c:pt>
                <c:pt idx="41">
                  <c:v>354901.45909938781</c:v>
                </c:pt>
                <c:pt idx="42">
                  <c:v>435296.41881281725</c:v>
                </c:pt>
                <c:pt idx="43">
                  <c:v>203503.86605386264</c:v>
                </c:pt>
                <c:pt idx="44">
                  <c:v>246507595388.80075</c:v>
                </c:pt>
                <c:pt idx="45">
                  <c:v>35724531032.11541</c:v>
                </c:pt>
                <c:pt idx="46">
                  <c:v>10059246460.05397</c:v>
                </c:pt>
                <c:pt idx="47">
                  <c:v>311524290.69666672</c:v>
                </c:pt>
                <c:pt idx="48">
                  <c:v>49376357333.678902</c:v>
                </c:pt>
                <c:pt idx="49">
                  <c:v>17158173233.03961</c:v>
                </c:pt>
                <c:pt idx="50">
                  <c:v>35178561047.276024</c:v>
                </c:pt>
                <c:pt idx="51">
                  <c:v>130740772562.53618</c:v>
                </c:pt>
                <c:pt idx="52">
                  <c:v>311524290.69666672</c:v>
                </c:pt>
                <c:pt idx="53">
                  <c:v>77771949906.484634</c:v>
                </c:pt>
                <c:pt idx="54">
                  <c:v>41731346056.717026</c:v>
                </c:pt>
                <c:pt idx="55">
                  <c:v>23710986872.26482</c:v>
                </c:pt>
                <c:pt idx="56">
                  <c:v>75587497371.442902</c:v>
                </c:pt>
                <c:pt idx="57">
                  <c:v>311524290.69666672</c:v>
                </c:pt>
                <c:pt idx="58">
                  <c:v>38454953551.996529</c:v>
                </c:pt>
                <c:pt idx="59">
                  <c:v>13335667594.558681</c:v>
                </c:pt>
                <c:pt idx="60">
                  <c:v>41185089774.035553</c:v>
                </c:pt>
                <c:pt idx="61">
                  <c:v>97430304934.807617</c:v>
                </c:pt>
                <c:pt idx="62">
                  <c:v>8967106081.8857346</c:v>
                </c:pt>
                <c:pt idx="63">
                  <c:v>311524290.69666672</c:v>
                </c:pt>
                <c:pt idx="64">
                  <c:v>311524290.69666672</c:v>
                </c:pt>
                <c:pt idx="65">
                  <c:v>311524290.69666672</c:v>
                </c:pt>
                <c:pt idx="66">
                  <c:v>311524290.69666672</c:v>
                </c:pt>
                <c:pt idx="67">
                  <c:v>311524290.69666672</c:v>
                </c:pt>
                <c:pt idx="68">
                  <c:v>311524290.69666672</c:v>
                </c:pt>
                <c:pt idx="69">
                  <c:v>311524290.69666672</c:v>
                </c:pt>
                <c:pt idx="70">
                  <c:v>311524290.69666672</c:v>
                </c:pt>
                <c:pt idx="71">
                  <c:v>311524290.69666672</c:v>
                </c:pt>
                <c:pt idx="72">
                  <c:v>311524290.69666672</c:v>
                </c:pt>
                <c:pt idx="73">
                  <c:v>103437119959.40923</c:v>
                </c:pt>
                <c:pt idx="74">
                  <c:v>71765134881.883011</c:v>
                </c:pt>
                <c:pt idx="75">
                  <c:v>19888509863.568096</c:v>
                </c:pt>
                <c:pt idx="76">
                  <c:v>311524290.69666672</c:v>
                </c:pt>
                <c:pt idx="77">
                  <c:v>311524290.69666672</c:v>
                </c:pt>
                <c:pt idx="78">
                  <c:v>53198719823.238777</c:v>
                </c:pt>
                <c:pt idx="79">
                  <c:v>311524290.69666672</c:v>
                </c:pt>
                <c:pt idx="80">
                  <c:v>311524290.69666672</c:v>
                </c:pt>
                <c:pt idx="81">
                  <c:v>311524290.69666672</c:v>
                </c:pt>
                <c:pt idx="82">
                  <c:v>311524290.69666672</c:v>
                </c:pt>
                <c:pt idx="83">
                  <c:v>176610553926.46527</c:v>
                </c:pt>
                <c:pt idx="84">
                  <c:v>311524290.69666672</c:v>
                </c:pt>
                <c:pt idx="85">
                  <c:v>311524290.69666672</c:v>
                </c:pt>
                <c:pt idx="86">
                  <c:v>70126938629.522766</c:v>
                </c:pt>
                <c:pt idx="87">
                  <c:v>26987408006.769527</c:v>
                </c:pt>
                <c:pt idx="88">
                  <c:v>311524290.69666672</c:v>
                </c:pt>
                <c:pt idx="89">
                  <c:v>71219164897.04361</c:v>
                </c:pt>
                <c:pt idx="90">
                  <c:v>31355912259.874065</c:v>
                </c:pt>
                <c:pt idx="91">
                  <c:v>6236769451.3572474</c:v>
                </c:pt>
                <c:pt idx="92">
                  <c:v>131832712532.21497</c:v>
                </c:pt>
                <c:pt idx="93">
                  <c:v>140569950076.69769</c:v>
                </c:pt>
                <c:pt idx="94">
                  <c:v>64666093589.760521</c:v>
                </c:pt>
                <c:pt idx="95">
                  <c:v>131832712532.21497</c:v>
                </c:pt>
                <c:pt idx="96">
                  <c:v>311524290.69666672</c:v>
                </c:pt>
                <c:pt idx="97">
                  <c:v>70672908614.362137</c:v>
                </c:pt>
                <c:pt idx="98">
                  <c:v>47738161081.318642</c:v>
                </c:pt>
                <c:pt idx="99">
                  <c:v>90331549940.527237</c:v>
                </c:pt>
                <c:pt idx="100">
                  <c:v>58113308580.31955</c:v>
                </c:pt>
                <c:pt idx="101">
                  <c:v>311524290.69666672</c:v>
                </c:pt>
                <c:pt idx="102">
                  <c:v>102345179989.73042</c:v>
                </c:pt>
                <c:pt idx="103">
                  <c:v>103437119959.40923</c:v>
                </c:pt>
                <c:pt idx="104">
                  <c:v>159682335120.1813</c:v>
                </c:pt>
                <c:pt idx="105">
                  <c:v>77225979921.645218</c:v>
                </c:pt>
                <c:pt idx="106">
                  <c:v>18796369485.399864</c:v>
                </c:pt>
                <c:pt idx="107">
                  <c:v>163504983907.58328</c:v>
                </c:pt>
                <c:pt idx="108">
                  <c:v>311524290.69666672</c:v>
                </c:pt>
                <c:pt idx="109">
                  <c:v>61389701085.040031</c:v>
                </c:pt>
                <c:pt idx="110">
                  <c:v>47738161081.318642</c:v>
                </c:pt>
                <c:pt idx="111">
                  <c:v>34086334779.755173</c:v>
                </c:pt>
                <c:pt idx="112">
                  <c:v>4598544569.2127886</c:v>
                </c:pt>
                <c:pt idx="113">
                  <c:v>50468297303.357666</c:v>
                </c:pt>
                <c:pt idx="114">
                  <c:v>63574153620.081764</c:v>
                </c:pt>
                <c:pt idx="115">
                  <c:v>109989904968.8502</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464175523013892.56</c:v>
                </c:pt>
                <c:pt idx="1">
                  <c:v>393770831035492.25</c:v>
                </c:pt>
                <c:pt idx="2">
                  <c:v>332550446216967.69</c:v>
                </c:pt>
                <c:pt idx="3">
                  <c:v>280663796725105.28</c:v>
                </c:pt>
                <c:pt idx="4">
                  <c:v>238256341837979.56</c:v>
                </c:pt>
                <c:pt idx="5">
                  <c:v>202297972956816.41</c:v>
                </c:pt>
                <c:pt idx="6">
                  <c:v>171421044127332.81</c:v>
                </c:pt>
                <c:pt idx="7">
                  <c:v>145810117616063.72</c:v>
                </c:pt>
                <c:pt idx="8">
                  <c:v>125114404661118.75</c:v>
                </c:pt>
                <c:pt idx="9">
                  <c:v>106843666776489.58</c:v>
                </c:pt>
                <c:pt idx="10">
                  <c:v>91867675726636.156</c:v>
                </c:pt>
                <c:pt idx="11">
                  <c:v>78586723517959.187</c:v>
                </c:pt>
                <c:pt idx="12">
                  <c:v>67861541451064.07</c:v>
                </c:pt>
                <c:pt idx="13">
                  <c:v>58250343423680.937</c:v>
                </c:pt>
                <c:pt idx="14">
                  <c:v>50528391118858.031</c:v>
                </c:pt>
                <c:pt idx="15">
                  <c:v>43618022578557.305</c:v>
                </c:pt>
                <c:pt idx="16">
                  <c:v>37671417026865.234</c:v>
                </c:pt>
                <c:pt idx="17">
                  <c:v>33096834290081.367</c:v>
                </c:pt>
                <c:pt idx="18">
                  <c:v>28733705756299.961</c:v>
                </c:pt>
                <c:pt idx="19">
                  <c:v>24712352744440.254</c:v>
                </c:pt>
                <c:pt idx="20">
                  <c:v>21736402756920.93</c:v>
                </c:pt>
                <c:pt idx="21">
                  <c:v>18797520067926.242</c:v>
                </c:pt>
                <c:pt idx="22">
                  <c:v>17172235995284.484</c:v>
                </c:pt>
                <c:pt idx="23">
                  <c:v>14651218849226.986</c:v>
                </c:pt>
                <c:pt idx="24">
                  <c:v>12792186110997.291</c:v>
                </c:pt>
                <c:pt idx="25">
                  <c:v>11643756054053.477</c:v>
                </c:pt>
                <c:pt idx="26">
                  <c:v>10364219292499.756</c:v>
                </c:pt>
                <c:pt idx="27">
                  <c:v>9225637824571.2734</c:v>
                </c:pt>
                <c:pt idx="28">
                  <c:v>8202932479457.1338</c:v>
                </c:pt>
                <c:pt idx="29">
                  <c:v>7087489213097.2432</c:v>
                </c:pt>
                <c:pt idx="30">
                  <c:v>6643608317815.708</c:v>
                </c:pt>
                <c:pt idx="31">
                  <c:v>6328836323582.5449</c:v>
                </c:pt>
                <c:pt idx="32">
                  <c:v>5246599770401.8027</c:v>
                </c:pt>
                <c:pt idx="33">
                  <c:v>4614721590341.6807</c:v>
                </c:pt>
                <c:pt idx="34">
                  <c:v>4467845846537.9961</c:v>
                </c:pt>
                <c:pt idx="35">
                  <c:v>3036745349694.7764</c:v>
                </c:pt>
                <c:pt idx="36">
                  <c:v>2965736008420.4404</c:v>
                </c:pt>
                <c:pt idx="37">
                  <c:v>2858006280961.1167</c:v>
                </c:pt>
                <c:pt idx="38">
                  <c:v>2687349222184.8081</c:v>
                </c:pt>
                <c:pt idx="39">
                  <c:v>2354500920614.0264</c:v>
                </c:pt>
                <c:pt idx="40">
                  <c:v>1895400426455.5352</c:v>
                </c:pt>
                <c:pt idx="41">
                  <c:v>1671902917853.1631</c:v>
                </c:pt>
                <c:pt idx="42">
                  <c:v>1502063516666.428</c:v>
                </c:pt>
                <c:pt idx="43">
                  <c:v>1119625946588.6301</c:v>
                </c:pt>
                <c:pt idx="44">
                  <c:v>1439937476908.6677</c:v>
                </c:pt>
                <c:pt idx="45">
                  <c:v>1011916295793.688</c:v>
                </c:pt>
                <c:pt idx="46">
                  <c:v>1228546082212.2422</c:v>
                </c:pt>
                <c:pt idx="47">
                  <c:v>100000</c:v>
                </c:pt>
                <c:pt idx="48">
                  <c:v>100000</c:v>
                </c:pt>
                <c:pt idx="49">
                  <c:v>100000</c:v>
                </c:pt>
                <c:pt idx="50">
                  <c:v>100000</c:v>
                </c:pt>
                <c:pt idx="51">
                  <c:v>100000</c:v>
                </c:pt>
                <c:pt idx="52">
                  <c:v>100000</c:v>
                </c:pt>
                <c:pt idx="53">
                  <c:v>100000</c:v>
                </c:pt>
                <c:pt idx="54">
                  <c:v>100000</c:v>
                </c:pt>
                <c:pt idx="55">
                  <c:v>100000</c:v>
                </c:pt>
                <c:pt idx="56">
                  <c:v>100000</c:v>
                </c:pt>
                <c:pt idx="57">
                  <c:v>100000</c:v>
                </c:pt>
                <c:pt idx="58">
                  <c:v>100000</c:v>
                </c:pt>
                <c:pt idx="59">
                  <c:v>100000</c:v>
                </c:pt>
                <c:pt idx="60">
                  <c:v>100000</c:v>
                </c:pt>
                <c:pt idx="61">
                  <c:v>100000</c:v>
                </c:pt>
                <c:pt idx="62">
                  <c:v>100000</c:v>
                </c:pt>
                <c:pt idx="63">
                  <c:v>100000</c:v>
                </c:pt>
                <c:pt idx="64">
                  <c:v>100000</c:v>
                </c:pt>
                <c:pt idx="65">
                  <c:v>100000</c:v>
                </c:pt>
                <c:pt idx="66">
                  <c:v>100000</c:v>
                </c:pt>
                <c:pt idx="67">
                  <c:v>100000</c:v>
                </c:pt>
                <c:pt idx="68">
                  <c:v>100000</c:v>
                </c:pt>
                <c:pt idx="69">
                  <c:v>100000</c:v>
                </c:pt>
                <c:pt idx="70">
                  <c:v>100000</c:v>
                </c:pt>
                <c:pt idx="71">
                  <c:v>100000</c:v>
                </c:pt>
                <c:pt idx="72">
                  <c:v>100000</c:v>
                </c:pt>
                <c:pt idx="73">
                  <c:v>100000</c:v>
                </c:pt>
                <c:pt idx="74">
                  <c:v>100000</c:v>
                </c:pt>
                <c:pt idx="75">
                  <c:v>100000</c:v>
                </c:pt>
                <c:pt idx="76">
                  <c:v>100000</c:v>
                </c:pt>
                <c:pt idx="77">
                  <c:v>100000</c:v>
                </c:pt>
                <c:pt idx="78">
                  <c:v>100000</c:v>
                </c:pt>
                <c:pt idx="79">
                  <c:v>100000</c:v>
                </c:pt>
                <c:pt idx="80">
                  <c:v>100000</c:v>
                </c:pt>
                <c:pt idx="81">
                  <c:v>100000</c:v>
                </c:pt>
                <c:pt idx="82">
                  <c:v>100000</c:v>
                </c:pt>
                <c:pt idx="83">
                  <c:v>100000</c:v>
                </c:pt>
                <c:pt idx="84">
                  <c:v>100000</c:v>
                </c:pt>
                <c:pt idx="85">
                  <c:v>100000</c:v>
                </c:pt>
                <c:pt idx="86">
                  <c:v>100000</c:v>
                </c:pt>
                <c:pt idx="87">
                  <c:v>100000</c:v>
                </c:pt>
                <c:pt idx="88">
                  <c:v>100000</c:v>
                </c:pt>
                <c:pt idx="89">
                  <c:v>100000</c:v>
                </c:pt>
                <c:pt idx="90">
                  <c:v>100000</c:v>
                </c:pt>
                <c:pt idx="91">
                  <c:v>100000</c:v>
                </c:pt>
                <c:pt idx="92">
                  <c:v>100000</c:v>
                </c:pt>
                <c:pt idx="93">
                  <c:v>100000</c:v>
                </c:pt>
                <c:pt idx="94">
                  <c:v>100000</c:v>
                </c:pt>
                <c:pt idx="95">
                  <c:v>100000</c:v>
                </c:pt>
                <c:pt idx="96">
                  <c:v>100000</c:v>
                </c:pt>
                <c:pt idx="97">
                  <c:v>100000</c:v>
                </c:pt>
                <c:pt idx="98">
                  <c:v>100000</c:v>
                </c:pt>
                <c:pt idx="99">
                  <c:v>100000</c:v>
                </c:pt>
                <c:pt idx="100">
                  <c:v>100000</c:v>
                </c:pt>
                <c:pt idx="101">
                  <c:v>100000</c:v>
                </c:pt>
                <c:pt idx="102">
                  <c:v>100000</c:v>
                </c:pt>
                <c:pt idx="103">
                  <c:v>100000</c:v>
                </c:pt>
                <c:pt idx="104">
                  <c:v>100000</c:v>
                </c:pt>
                <c:pt idx="105">
                  <c:v>100000</c:v>
                </c:pt>
                <c:pt idx="106">
                  <c:v>100000</c:v>
                </c:pt>
                <c:pt idx="107">
                  <c:v>100000</c:v>
                </c:pt>
                <c:pt idx="108">
                  <c:v>100000</c:v>
                </c:pt>
                <c:pt idx="109">
                  <c:v>100000</c:v>
                </c:pt>
                <c:pt idx="110">
                  <c:v>100000</c:v>
                </c:pt>
                <c:pt idx="111">
                  <c:v>100000</c:v>
                </c:pt>
                <c:pt idx="112">
                  <c:v>100000</c:v>
                </c:pt>
                <c:pt idx="113">
                  <c:v>100000</c:v>
                </c:pt>
                <c:pt idx="114">
                  <c:v>100000</c:v>
                </c:pt>
                <c:pt idx="115">
                  <c:v>100000</c:v>
                </c:pt>
                <c:pt idx="116">
                  <c:v>100000</c:v>
                </c:pt>
                <c:pt idx="117">
                  <c:v>100000</c:v>
                </c:pt>
                <c:pt idx="118">
                  <c:v>100000</c:v>
                </c:pt>
              </c:numCache>
            </c:numRef>
          </c:xVal>
          <c:yVal>
            <c:numRef>
              <c:f>Calc!$U$12:$U$130</c:f>
              <c:numCache>
                <c:formatCode>0</c:formatCode>
                <c:ptCount val="1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0</c:v>
                </c:pt>
              </c:numCache>
            </c:numRef>
          </c:xVal>
          <c:yVal>
            <c:numRef>
              <c:f>Calc!$X$6</c:f>
              <c:numCache>
                <c:formatCode>0.00E+00</c:formatCode>
                <c:ptCount val="1"/>
                <c:pt idx="0">
                  <c:v>0</c:v>
                </c:pt>
              </c:numCache>
            </c:numRef>
          </c:yVal>
          <c:smooth val="0"/>
        </c:ser>
        <c:dLbls>
          <c:showLegendKey val="0"/>
          <c:showVal val="0"/>
          <c:showCatName val="0"/>
          <c:showSerName val="0"/>
          <c:showPercent val="0"/>
          <c:showBubbleSize val="0"/>
        </c:dLbls>
        <c:axId val="130024960"/>
        <c:axId val="130043904"/>
      </c:scatterChart>
      <c:valAx>
        <c:axId val="130024960"/>
        <c:scaling>
          <c:orientation val="minMax"/>
          <c:min val="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layout/>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130043904"/>
        <c:crosses val="autoZero"/>
        <c:crossBetween val="midCat"/>
      </c:valAx>
      <c:valAx>
        <c:axId val="130043904"/>
        <c:scaling>
          <c:orientation val="minMax"/>
          <c:max val="957905.0974086863"/>
          <c:min val="0"/>
        </c:scaling>
        <c:delete val="0"/>
        <c:axPos val="l"/>
        <c:majorGridlines/>
        <c:title>
          <c:tx>
            <c:rich>
              <a:bodyPr rot="-5400000" vert="horz"/>
              <a:lstStyle/>
              <a:p>
                <a:pPr>
                  <a:defRPr sz="1100">
                    <a:solidFill>
                      <a:sysClr val="windowText" lastClr="000000"/>
                    </a:solidFill>
                    <a:latin typeface="Arial" pitchFamily="34" charset="0"/>
                    <a:cs typeface="Arial" pitchFamily="34" charset="0"/>
                  </a:defRPr>
                </a:pPr>
                <a:r>
                  <a:rPr lang="en-US" sz="1100">
                    <a:solidFill>
                      <a:sysClr val="windowText" lastClr="000000"/>
                    </a:solidFill>
                    <a:latin typeface="Arial" pitchFamily="34" charset="0"/>
                    <a:cs typeface="Arial" pitchFamily="34" charset="0"/>
                  </a:rPr>
                  <a:t>Inverse</a:t>
                </a:r>
                <a:r>
                  <a:rPr lang="en-US" sz="1100" baseline="0">
                    <a:solidFill>
                      <a:sysClr val="windowText" lastClr="000000"/>
                    </a:solidFill>
                    <a:latin typeface="Arial" pitchFamily="34" charset="0"/>
                    <a:cs typeface="Arial" pitchFamily="34" charset="0"/>
                  </a:rPr>
                  <a:t> Lifetime - Correction Term (s</a:t>
                </a:r>
                <a:r>
                  <a:rPr lang="en-US" sz="1100" baseline="30000">
                    <a:solidFill>
                      <a:sysClr val="windowText" lastClr="000000"/>
                    </a:solidFill>
                    <a:latin typeface="Arial" pitchFamily="34" charset="0"/>
                    <a:cs typeface="Arial" pitchFamily="34" charset="0"/>
                  </a:rPr>
                  <a:t>-1</a:t>
                </a:r>
                <a:r>
                  <a:rPr lang="en-US" sz="1100" baseline="0">
                    <a:solidFill>
                      <a:sysClr val="windowText" lastClr="000000"/>
                    </a:solidFill>
                    <a:latin typeface="Arial" pitchFamily="34" charset="0"/>
                    <a:cs typeface="Arial" pitchFamily="34" charset="0"/>
                  </a:rPr>
                  <a:t>)</a:t>
                </a:r>
              </a:p>
            </c:rich>
          </c:tx>
          <c:layout/>
          <c:overlay val="0"/>
        </c:title>
        <c:numFmt formatCode="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130024960"/>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Implied V</a:t>
            </a:r>
            <a:r>
              <a:rPr lang="en-US" sz="1200" baseline="-25000">
                <a:latin typeface="Arial" pitchFamily="34" charset="0"/>
                <a:cs typeface="Arial" pitchFamily="34" charset="0"/>
              </a:rPr>
              <a:t>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numCache>
            </c:numRef>
          </c:xVal>
          <c:yVal>
            <c:numRef>
              <c:f>Calc!$Y$15:$Y$130</c:f>
              <c:numCache>
                <c:formatCode>0.00</c:formatCode>
                <c:ptCount val="1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numCache>
            </c:numRef>
          </c:yVal>
          <c:smooth val="0"/>
        </c:ser>
        <c:dLbls>
          <c:showLegendKey val="0"/>
          <c:showVal val="0"/>
          <c:showCatName val="0"/>
          <c:showSerName val="0"/>
          <c:showPercent val="0"/>
          <c:showBubbleSize val="0"/>
        </c:dLbls>
        <c:axId val="130064384"/>
        <c:axId val="130066688"/>
      </c:scatterChart>
      <c:valAx>
        <c:axId val="130064384"/>
        <c:scaling>
          <c:orientation val="minMax"/>
          <c:min val="0.4"/>
        </c:scaling>
        <c:delete val="0"/>
        <c:axPos val="b"/>
        <c:majorGridlines/>
        <c:title>
          <c:tx>
            <c:rich>
              <a:bodyPr/>
              <a:lstStyle/>
              <a:p>
                <a:pPr>
                  <a:defRPr sz="1200" baseline="0">
                    <a:latin typeface="Arial" pitchFamily="34" charset="0"/>
                    <a:cs typeface="Arial" pitchFamily="34" charset="0"/>
                  </a:defRPr>
                </a:pPr>
                <a:r>
                  <a:rPr lang="en-US" sz="1200" baseline="0">
                    <a:latin typeface="Arial" pitchFamily="34" charset="0"/>
                    <a:cs typeface="Arial" pitchFamily="34" charset="0"/>
                  </a:rPr>
                  <a:t>Implied Open Circuit Voltage (V)</a:t>
                </a:r>
              </a:p>
            </c:rich>
          </c:tx>
          <c:layout/>
          <c:overlay val="0"/>
        </c:title>
        <c:numFmt formatCode="0.0000" sourceLinked="1"/>
        <c:majorTickMark val="out"/>
        <c:minorTickMark val="none"/>
        <c:tickLblPos val="low"/>
        <c:txPr>
          <a:bodyPr/>
          <a:lstStyle/>
          <a:p>
            <a:pPr>
              <a:defRPr sz="1000" b="1" baseline="0">
                <a:latin typeface="Arial" pitchFamily="34" charset="0"/>
                <a:cs typeface="Arial" pitchFamily="34" charset="0"/>
              </a:defRPr>
            </a:pPr>
            <a:endParaRPr lang="en-US"/>
          </a:p>
        </c:txPr>
        <c:crossAx val="130066688"/>
        <c:crosses val="autoZero"/>
        <c:crossBetween val="midCat"/>
      </c:valAx>
      <c:valAx>
        <c:axId val="130066688"/>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baseline="0">
                    <a:solidFill>
                      <a:sysClr val="windowText" lastClr="000000"/>
                    </a:solidFill>
                    <a:latin typeface="Arial" pitchFamily="34" charset="0"/>
                    <a:cs typeface="Arial" pitchFamily="34" charset="0"/>
                  </a:defRPr>
                </a:pPr>
                <a:r>
                  <a:rPr lang="en-US" sz="1200" baseline="0">
                    <a:solidFill>
                      <a:sysClr val="windowText" lastClr="000000"/>
                    </a:solidFill>
                    <a:latin typeface="Arial" pitchFamily="34" charset="0"/>
                    <a:cs typeface="Arial" pitchFamily="34" charset="0"/>
                  </a:rPr>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130064384"/>
        <c:crosses val="autoZero"/>
        <c:crossBetween val="midCat"/>
      </c:valAx>
      <c:spPr>
        <a:ln>
          <a:solidFill>
            <a:sysClr val="windowText" lastClr="000000"/>
          </a:solidFill>
        </a:ln>
      </c:spPr>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Lifetime (no</a:t>
            </a:r>
            <a:r>
              <a:rPr lang="en-US" sz="1200" baseline="0">
                <a:latin typeface="Arial" pitchFamily="34" charset="0"/>
                <a:cs typeface="Arial" pitchFamily="34" charset="0"/>
              </a:rPr>
              <a:t> Auger Correction)  vs Minority Carrier Density</a:t>
            </a:r>
            <a:endParaRPr lang="en-US" sz="1200" baseline="-25000">
              <a:latin typeface="Arial" pitchFamily="34" charset="0"/>
              <a:cs typeface="Arial" pitchFamily="34" charset="0"/>
            </a:endParaRP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xVal>
          <c:yVal>
            <c:numRef>
              <c:f>Calc!$P$12:$P$131</c:f>
              <c:numCache>
                <c:formatCode>0.00E+00</c:formatCode>
                <c:ptCount val="120"/>
                <c:pt idx="0">
                  <c:v>3.5063158227529795E-6</c:v>
                </c:pt>
                <c:pt idx="1">
                  <c:v>3.4341620007682622E-6</c:v>
                </c:pt>
                <c:pt idx="2">
                  <c:v>3.3529743773202268E-6</c:v>
                </c:pt>
                <c:pt idx="3">
                  <c:v>3.2659405144513302E-6</c:v>
                </c:pt>
                <c:pt idx="4">
                  <c:v>3.1886060322793355E-6</c:v>
                </c:pt>
                <c:pt idx="5">
                  <c:v>3.1097738864131409E-6</c:v>
                </c:pt>
                <c:pt idx="6">
                  <c:v>3.0204087958133309E-6</c:v>
                </c:pt>
                <c:pt idx="7">
                  <c:v>2.9386371418886113E-6</c:v>
                </c:pt>
                <c:pt idx="8">
                  <c:v>2.8764141621255616E-6</c:v>
                </c:pt>
                <c:pt idx="9">
                  <c:v>2.798873609326022E-6</c:v>
                </c:pt>
                <c:pt idx="10">
                  <c:v>2.7364256546248861E-6</c:v>
                </c:pt>
                <c:pt idx="11">
                  <c:v>2.6591449348962005E-6</c:v>
                </c:pt>
                <c:pt idx="12">
                  <c:v>2.6062170550190191E-6</c:v>
                </c:pt>
                <c:pt idx="13">
                  <c:v>2.5338826883771142E-6</c:v>
                </c:pt>
                <c:pt idx="14">
                  <c:v>2.4878229918241247E-6</c:v>
                </c:pt>
                <c:pt idx="15">
                  <c:v>2.424676938504103E-6</c:v>
                </c:pt>
                <c:pt idx="16">
                  <c:v>2.3635758303766479E-6</c:v>
                </c:pt>
                <c:pt idx="17">
                  <c:v>2.3425230017065469E-6</c:v>
                </c:pt>
                <c:pt idx="18">
                  <c:v>2.2917481262980496E-6</c:v>
                </c:pt>
                <c:pt idx="19">
                  <c:v>2.2227785412334166E-6</c:v>
                </c:pt>
                <c:pt idx="20">
                  <c:v>2.201924079720536E-6</c:v>
                </c:pt>
                <c:pt idx="21">
                  <c:v>2.1350344146809438E-6</c:v>
                </c:pt>
                <c:pt idx="22">
                  <c:v>2.1934095431525532E-6</c:v>
                </c:pt>
                <c:pt idx="23">
                  <c:v>2.1053240901193414E-6</c:v>
                </c:pt>
                <c:pt idx="24">
                  <c:v>2.0639677019220107E-6</c:v>
                </c:pt>
                <c:pt idx="25">
                  <c:v>2.1137745742610444E-6</c:v>
                </c:pt>
                <c:pt idx="26">
                  <c:v>2.1130409721524188E-6</c:v>
                </c:pt>
                <c:pt idx="27">
                  <c:v>2.113792210706505E-6</c:v>
                </c:pt>
                <c:pt idx="28">
                  <c:v>2.1134436340072621E-6</c:v>
                </c:pt>
                <c:pt idx="29">
                  <c:v>2.0561512762571967E-6</c:v>
                </c:pt>
                <c:pt idx="30">
                  <c:v>2.165253067183995E-6</c:v>
                </c:pt>
                <c:pt idx="31">
                  <c:v>2.3245406549723589E-6</c:v>
                </c:pt>
                <c:pt idx="32">
                  <c:v>2.1847901225868437E-6</c:v>
                </c:pt>
                <c:pt idx="33">
                  <c:v>2.1673471588309996E-6</c:v>
                </c:pt>
                <c:pt idx="34">
                  <c:v>2.3752325866647129E-6</c:v>
                </c:pt>
                <c:pt idx="35">
                  <c:v>1.8161985481510157E-6</c:v>
                </c:pt>
                <c:pt idx="36">
                  <c:v>2.0204520911180475E-6</c:v>
                </c:pt>
                <c:pt idx="37">
                  <c:v>2.2063505319734992E-6</c:v>
                </c:pt>
                <c:pt idx="38">
                  <c:v>2.3604937841975497E-6</c:v>
                </c:pt>
                <c:pt idx="39">
                  <c:v>2.3707130699036096E-6</c:v>
                </c:pt>
                <c:pt idx="40">
                  <c:v>2.171342454242954E-6</c:v>
                </c:pt>
                <c:pt idx="41">
                  <c:v>2.1885839386773833E-6</c:v>
                </c:pt>
                <c:pt idx="42">
                  <c:v>2.2571638868328327E-6</c:v>
                </c:pt>
                <c:pt idx="43">
                  <c:v>1.9358480348360128E-6</c:v>
                </c:pt>
                <c:pt idx="44">
                  <c:v>2.817683482704632E-6</c:v>
                </c:pt>
                <c:pt idx="45">
                  <c:v>2.2972851255153405E-6</c:v>
                </c:pt>
                <c:pt idx="46">
                  <c:v>4.9139114090160469E-6</c:v>
                </c:pt>
                <c:pt idx="47">
                  <c:v>4.056670133927369E-12</c:v>
                </c:pt>
                <c:pt idx="48">
                  <c:v>2.7991969974386124E-11</c:v>
                </c:pt>
                <c:pt idx="49">
                  <c:v>9.9411024868619704E-11</c:v>
                </c:pt>
                <c:pt idx="50">
                  <c:v>3.2100225563909774E-9</c:v>
                </c:pt>
                <c:pt idx="51">
                  <c:v>2.0252607806649893E-11</c:v>
                </c:pt>
                <c:pt idx="52">
                  <c:v>5.828126260401718E-11</c:v>
                </c:pt>
                <c:pt idx="53">
                  <c:v>2.8426404327798187E-11</c:v>
                </c:pt>
                <c:pt idx="54">
                  <c:v>7.648723350794627E-12</c:v>
                </c:pt>
                <c:pt idx="55">
                  <c:v>3.2100225563909774E-9</c:v>
                </c:pt>
                <c:pt idx="56">
                  <c:v>1.2858106312139924E-11</c:v>
                </c:pt>
                <c:pt idx="57">
                  <c:v>2.3962802413344184E-11</c:v>
                </c:pt>
                <c:pt idx="58">
                  <c:v>4.217454150631404E-11</c:v>
                </c:pt>
                <c:pt idx="59">
                  <c:v>1.322970113808533E-11</c:v>
                </c:pt>
                <c:pt idx="60">
                  <c:v>3.2100225563909774E-9</c:v>
                </c:pt>
                <c:pt idx="61">
                  <c:v>2.6004452161094376E-11</c:v>
                </c:pt>
                <c:pt idx="62">
                  <c:v>7.4986872078907209E-11</c:v>
                </c:pt>
                <c:pt idx="63">
                  <c:v>2.428063178899353E-11</c:v>
                </c:pt>
                <c:pt idx="64">
                  <c:v>1.0263747000167126E-11</c:v>
                </c:pt>
                <c:pt idx="65">
                  <c:v>1.1151869854869669E-10</c:v>
                </c:pt>
                <c:pt idx="66">
                  <c:v>3.2100225563909774E-9</c:v>
                </c:pt>
                <c:pt idx="67">
                  <c:v>3.2100225563909774E-9</c:v>
                </c:pt>
                <c:pt idx="68">
                  <c:v>3.2100225563909774E-9</c:v>
                </c:pt>
                <c:pt idx="69">
                  <c:v>3.2100225563909774E-9</c:v>
                </c:pt>
                <c:pt idx="70">
                  <c:v>3.2100225563909774E-9</c:v>
                </c:pt>
                <c:pt idx="71">
                  <c:v>3.2100225563909774E-9</c:v>
                </c:pt>
                <c:pt idx="72">
                  <c:v>3.2100225563909774E-9</c:v>
                </c:pt>
                <c:pt idx="73">
                  <c:v>3.2100225563909774E-9</c:v>
                </c:pt>
                <c:pt idx="74">
                  <c:v>3.2100225563909774E-9</c:v>
                </c:pt>
                <c:pt idx="75">
                  <c:v>3.2100225563909774E-9</c:v>
                </c:pt>
                <c:pt idx="76">
                  <c:v>9.6677092362240919E-12</c:v>
                </c:pt>
                <c:pt idx="77">
                  <c:v>1.393434293192485E-11</c:v>
                </c:pt>
                <c:pt idx="78">
                  <c:v>5.0280287807373977E-11</c:v>
                </c:pt>
                <c:pt idx="79">
                  <c:v>3.2100225563909774E-9</c:v>
                </c:pt>
                <c:pt idx="80">
                  <c:v>3.2100225563909774E-9</c:v>
                </c:pt>
                <c:pt idx="81">
                  <c:v>1.8797444813007894E-11</c:v>
                </c:pt>
                <c:pt idx="82">
                  <c:v>3.2100225563909774E-9</c:v>
                </c:pt>
                <c:pt idx="83">
                  <c:v>3.2100225563909774E-9</c:v>
                </c:pt>
                <c:pt idx="84">
                  <c:v>3.2100225563909774E-9</c:v>
                </c:pt>
                <c:pt idx="85">
                  <c:v>3.2100225563909774E-9</c:v>
                </c:pt>
                <c:pt idx="86">
                  <c:v>5.6621757747069103E-12</c:v>
                </c:pt>
                <c:pt idx="87">
                  <c:v>3.2100225563909774E-9</c:v>
                </c:pt>
                <c:pt idx="88">
                  <c:v>3.2100225563909774E-9</c:v>
                </c:pt>
                <c:pt idx="89">
                  <c:v>1.4259855335806855E-11</c:v>
                </c:pt>
                <c:pt idx="90">
                  <c:v>3.7054318063785889E-11</c:v>
                </c:pt>
                <c:pt idx="91">
                  <c:v>3.2100225563909774E-9</c:v>
                </c:pt>
                <c:pt idx="92">
                  <c:v>1.4041164361385415E-11</c:v>
                </c:pt>
                <c:pt idx="93">
                  <c:v>3.1891912176310456E-11</c:v>
                </c:pt>
                <c:pt idx="94">
                  <c:v>1.6033942056049222E-10</c:v>
                </c:pt>
                <c:pt idx="95">
                  <c:v>7.5853707383562903E-12</c:v>
                </c:pt>
                <c:pt idx="96">
                  <c:v>7.1138959603697699E-12</c:v>
                </c:pt>
                <c:pt idx="97">
                  <c:v>1.5464054568441472E-11</c:v>
                </c:pt>
                <c:pt idx="98">
                  <c:v>7.5853707383562903E-12</c:v>
                </c:pt>
                <c:pt idx="99">
                  <c:v>3.2100225563909774E-9</c:v>
                </c:pt>
                <c:pt idx="100">
                  <c:v>1.4149693561597381E-11</c:v>
                </c:pt>
                <c:pt idx="101">
                  <c:v>2.0947602030513272E-11</c:v>
                </c:pt>
                <c:pt idx="102">
                  <c:v>1.1070329255485853E-11</c:v>
                </c:pt>
                <c:pt idx="103">
                  <c:v>1.7207762291108935E-11</c:v>
                </c:pt>
                <c:pt idx="104">
                  <c:v>3.2100225563909774E-9</c:v>
                </c:pt>
                <c:pt idx="105">
                  <c:v>9.7708558439229143E-12</c:v>
                </c:pt>
                <c:pt idx="106">
                  <c:v>9.6677092362240919E-12</c:v>
                </c:pt>
                <c:pt idx="107">
                  <c:v>6.2624334698473227E-12</c:v>
                </c:pt>
                <c:pt idx="108">
                  <c:v>1.2949010177852284E-11</c:v>
                </c:pt>
                <c:pt idx="109">
                  <c:v>5.320176328608314E-11</c:v>
                </c:pt>
                <c:pt idx="110">
                  <c:v>6.1160215187398976E-12</c:v>
                </c:pt>
                <c:pt idx="111">
                  <c:v>3.2100225563909774E-9</c:v>
                </c:pt>
                <c:pt idx="112">
                  <c:v>1.6289377246107631E-11</c:v>
                </c:pt>
                <c:pt idx="113">
                  <c:v>2.0947602030513272E-11</c:v>
                </c:pt>
                <c:pt idx="114">
                  <c:v>2.9337269802147458E-11</c:v>
                </c:pt>
                <c:pt idx="115">
                  <c:v>2.1746010829056443E-10</c:v>
                </c:pt>
                <c:pt idx="116">
                  <c:v>1.9814419218249904E-11</c:v>
                </c:pt>
                <c:pt idx="117">
                  <c:v>1.5729662811965784E-11</c:v>
                </c:pt>
                <c:pt idx="118">
                  <c:v>9.0917434675773741E-12</c:v>
                </c:pt>
                <c:pt idx="119">
                  <c:v>2.2491233075382807E-11</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464175523013892.56</c:v>
                </c:pt>
                <c:pt idx="1">
                  <c:v>393770831035492.25</c:v>
                </c:pt>
                <c:pt idx="2">
                  <c:v>332550446216967.69</c:v>
                </c:pt>
                <c:pt idx="3">
                  <c:v>280663796725105.28</c:v>
                </c:pt>
                <c:pt idx="4">
                  <c:v>238256341837979.56</c:v>
                </c:pt>
                <c:pt idx="5">
                  <c:v>202297972956816.41</c:v>
                </c:pt>
                <c:pt idx="6">
                  <c:v>171421044127332.81</c:v>
                </c:pt>
                <c:pt idx="7">
                  <c:v>145810117616063.72</c:v>
                </c:pt>
                <c:pt idx="8">
                  <c:v>125114404661118.75</c:v>
                </c:pt>
                <c:pt idx="9">
                  <c:v>106843666776489.58</c:v>
                </c:pt>
                <c:pt idx="10">
                  <c:v>91867675726636.156</c:v>
                </c:pt>
                <c:pt idx="11">
                  <c:v>78586723517959.187</c:v>
                </c:pt>
                <c:pt idx="12">
                  <c:v>67861541451064.07</c:v>
                </c:pt>
                <c:pt idx="13">
                  <c:v>58250343423680.937</c:v>
                </c:pt>
                <c:pt idx="14">
                  <c:v>50528391118858.031</c:v>
                </c:pt>
                <c:pt idx="15">
                  <c:v>43618022578557.305</c:v>
                </c:pt>
                <c:pt idx="16">
                  <c:v>37671417026865.234</c:v>
                </c:pt>
                <c:pt idx="17">
                  <c:v>33096834290081.367</c:v>
                </c:pt>
                <c:pt idx="18">
                  <c:v>28733705756299.961</c:v>
                </c:pt>
                <c:pt idx="19">
                  <c:v>24712352744440.254</c:v>
                </c:pt>
                <c:pt idx="20">
                  <c:v>21736402756920.93</c:v>
                </c:pt>
                <c:pt idx="21">
                  <c:v>18797520067926.242</c:v>
                </c:pt>
                <c:pt idx="22">
                  <c:v>17172235995284.484</c:v>
                </c:pt>
                <c:pt idx="23">
                  <c:v>14651218849226.986</c:v>
                </c:pt>
                <c:pt idx="24">
                  <c:v>12792186110997.291</c:v>
                </c:pt>
                <c:pt idx="25">
                  <c:v>11643756054053.477</c:v>
                </c:pt>
                <c:pt idx="26">
                  <c:v>10364219292499.756</c:v>
                </c:pt>
                <c:pt idx="27">
                  <c:v>9225637824571.2734</c:v>
                </c:pt>
                <c:pt idx="28">
                  <c:v>8202932479457.1338</c:v>
                </c:pt>
                <c:pt idx="29">
                  <c:v>7087489213097.2432</c:v>
                </c:pt>
                <c:pt idx="30">
                  <c:v>6643608317815.708</c:v>
                </c:pt>
                <c:pt idx="31">
                  <c:v>6328836323582.5449</c:v>
                </c:pt>
                <c:pt idx="32">
                  <c:v>5246599770401.8027</c:v>
                </c:pt>
                <c:pt idx="33">
                  <c:v>4614721590341.6807</c:v>
                </c:pt>
                <c:pt idx="34">
                  <c:v>4467845846537.9961</c:v>
                </c:pt>
                <c:pt idx="35">
                  <c:v>3036745349694.7764</c:v>
                </c:pt>
                <c:pt idx="36">
                  <c:v>2965736008420.4404</c:v>
                </c:pt>
                <c:pt idx="37">
                  <c:v>2858006280961.1167</c:v>
                </c:pt>
                <c:pt idx="38">
                  <c:v>2687349222184.8081</c:v>
                </c:pt>
                <c:pt idx="39">
                  <c:v>2354500920614.0264</c:v>
                </c:pt>
                <c:pt idx="40">
                  <c:v>1895400426455.5352</c:v>
                </c:pt>
                <c:pt idx="41">
                  <c:v>1671902917853.1631</c:v>
                </c:pt>
                <c:pt idx="42">
                  <c:v>1502063516666.428</c:v>
                </c:pt>
                <c:pt idx="43">
                  <c:v>1119625946588.6301</c:v>
                </c:pt>
                <c:pt idx="44">
                  <c:v>1439937476908.6677</c:v>
                </c:pt>
                <c:pt idx="45">
                  <c:v>1011916295793.688</c:v>
                </c:pt>
                <c:pt idx="46">
                  <c:v>1228546082212.2422</c:v>
                </c:pt>
                <c:pt idx="47">
                  <c:v>100000</c:v>
                </c:pt>
                <c:pt idx="48">
                  <c:v>100000</c:v>
                </c:pt>
                <c:pt idx="49">
                  <c:v>100000</c:v>
                </c:pt>
                <c:pt idx="50">
                  <c:v>100000</c:v>
                </c:pt>
                <c:pt idx="51">
                  <c:v>100000</c:v>
                </c:pt>
                <c:pt idx="52">
                  <c:v>100000</c:v>
                </c:pt>
                <c:pt idx="53">
                  <c:v>100000</c:v>
                </c:pt>
                <c:pt idx="54">
                  <c:v>100000</c:v>
                </c:pt>
                <c:pt idx="55">
                  <c:v>100000</c:v>
                </c:pt>
                <c:pt idx="56">
                  <c:v>100000</c:v>
                </c:pt>
                <c:pt idx="57">
                  <c:v>100000</c:v>
                </c:pt>
                <c:pt idx="58">
                  <c:v>100000</c:v>
                </c:pt>
                <c:pt idx="59">
                  <c:v>100000</c:v>
                </c:pt>
                <c:pt idx="60">
                  <c:v>100000</c:v>
                </c:pt>
                <c:pt idx="61">
                  <c:v>100000</c:v>
                </c:pt>
                <c:pt idx="62">
                  <c:v>100000</c:v>
                </c:pt>
                <c:pt idx="63">
                  <c:v>100000</c:v>
                </c:pt>
                <c:pt idx="64">
                  <c:v>100000</c:v>
                </c:pt>
                <c:pt idx="65">
                  <c:v>100000</c:v>
                </c:pt>
                <c:pt idx="66">
                  <c:v>100000</c:v>
                </c:pt>
                <c:pt idx="67">
                  <c:v>100000</c:v>
                </c:pt>
                <c:pt idx="68">
                  <c:v>100000</c:v>
                </c:pt>
                <c:pt idx="69">
                  <c:v>100000</c:v>
                </c:pt>
                <c:pt idx="70">
                  <c:v>100000</c:v>
                </c:pt>
                <c:pt idx="71">
                  <c:v>100000</c:v>
                </c:pt>
                <c:pt idx="72">
                  <c:v>100000</c:v>
                </c:pt>
                <c:pt idx="73">
                  <c:v>100000</c:v>
                </c:pt>
                <c:pt idx="74">
                  <c:v>100000</c:v>
                </c:pt>
                <c:pt idx="75">
                  <c:v>100000</c:v>
                </c:pt>
                <c:pt idx="76">
                  <c:v>100000</c:v>
                </c:pt>
                <c:pt idx="77">
                  <c:v>100000</c:v>
                </c:pt>
                <c:pt idx="78">
                  <c:v>100000</c:v>
                </c:pt>
                <c:pt idx="79">
                  <c:v>100000</c:v>
                </c:pt>
                <c:pt idx="80">
                  <c:v>100000</c:v>
                </c:pt>
                <c:pt idx="81">
                  <c:v>100000</c:v>
                </c:pt>
                <c:pt idx="82">
                  <c:v>100000</c:v>
                </c:pt>
                <c:pt idx="83">
                  <c:v>100000</c:v>
                </c:pt>
                <c:pt idx="84">
                  <c:v>100000</c:v>
                </c:pt>
                <c:pt idx="85">
                  <c:v>100000</c:v>
                </c:pt>
                <c:pt idx="86">
                  <c:v>100000</c:v>
                </c:pt>
                <c:pt idx="87">
                  <c:v>100000</c:v>
                </c:pt>
                <c:pt idx="88">
                  <c:v>100000</c:v>
                </c:pt>
                <c:pt idx="89">
                  <c:v>100000</c:v>
                </c:pt>
                <c:pt idx="90">
                  <c:v>100000</c:v>
                </c:pt>
                <c:pt idx="91">
                  <c:v>100000</c:v>
                </c:pt>
                <c:pt idx="92">
                  <c:v>100000</c:v>
                </c:pt>
                <c:pt idx="93">
                  <c:v>100000</c:v>
                </c:pt>
                <c:pt idx="94">
                  <c:v>100000</c:v>
                </c:pt>
                <c:pt idx="95">
                  <c:v>100000</c:v>
                </c:pt>
                <c:pt idx="96">
                  <c:v>100000</c:v>
                </c:pt>
                <c:pt idx="97">
                  <c:v>100000</c:v>
                </c:pt>
                <c:pt idx="98">
                  <c:v>100000</c:v>
                </c:pt>
                <c:pt idx="99">
                  <c:v>100000</c:v>
                </c:pt>
                <c:pt idx="100">
                  <c:v>100000</c:v>
                </c:pt>
                <c:pt idx="101">
                  <c:v>100000</c:v>
                </c:pt>
                <c:pt idx="102">
                  <c:v>100000</c:v>
                </c:pt>
                <c:pt idx="103">
                  <c:v>100000</c:v>
                </c:pt>
                <c:pt idx="104">
                  <c:v>100000</c:v>
                </c:pt>
                <c:pt idx="105">
                  <c:v>100000</c:v>
                </c:pt>
                <c:pt idx="106">
                  <c:v>100000</c:v>
                </c:pt>
                <c:pt idx="107">
                  <c:v>100000</c:v>
                </c:pt>
                <c:pt idx="108">
                  <c:v>100000</c:v>
                </c:pt>
                <c:pt idx="109">
                  <c:v>100000</c:v>
                </c:pt>
                <c:pt idx="110">
                  <c:v>100000</c:v>
                </c:pt>
                <c:pt idx="111">
                  <c:v>100000</c:v>
                </c:pt>
                <c:pt idx="112">
                  <c:v>100000</c:v>
                </c:pt>
                <c:pt idx="113">
                  <c:v>100000</c:v>
                </c:pt>
                <c:pt idx="114">
                  <c:v>100000</c:v>
                </c:pt>
                <c:pt idx="115">
                  <c:v>100000</c:v>
                </c:pt>
                <c:pt idx="116">
                  <c:v>100000</c:v>
                </c:pt>
                <c:pt idx="117">
                  <c:v>100000</c:v>
                </c:pt>
                <c:pt idx="118">
                  <c:v>100000</c:v>
                </c:pt>
                <c:pt idx="119">
                  <c:v>100000</c:v>
                </c:pt>
              </c:numCache>
            </c:numRef>
          </c:xVal>
          <c:yVal>
            <c:numRef>
              <c:f>Calc!$P$12:$P$131</c:f>
              <c:numCache>
                <c:formatCode>0.00E+00</c:formatCode>
                <c:ptCount val="120"/>
                <c:pt idx="0">
                  <c:v>3.5063158227529795E-6</c:v>
                </c:pt>
                <c:pt idx="1">
                  <c:v>3.4341620007682622E-6</c:v>
                </c:pt>
                <c:pt idx="2">
                  <c:v>3.3529743773202268E-6</c:v>
                </c:pt>
                <c:pt idx="3">
                  <c:v>3.2659405144513302E-6</c:v>
                </c:pt>
                <c:pt idx="4">
                  <c:v>3.1886060322793355E-6</c:v>
                </c:pt>
                <c:pt idx="5">
                  <c:v>3.1097738864131409E-6</c:v>
                </c:pt>
                <c:pt idx="6">
                  <c:v>3.0204087958133309E-6</c:v>
                </c:pt>
                <c:pt idx="7">
                  <c:v>2.9386371418886113E-6</c:v>
                </c:pt>
                <c:pt idx="8">
                  <c:v>2.8764141621255616E-6</c:v>
                </c:pt>
                <c:pt idx="9">
                  <c:v>2.798873609326022E-6</c:v>
                </c:pt>
                <c:pt idx="10">
                  <c:v>2.7364256546248861E-6</c:v>
                </c:pt>
                <c:pt idx="11">
                  <c:v>2.6591449348962005E-6</c:v>
                </c:pt>
                <c:pt idx="12">
                  <c:v>2.6062170550190191E-6</c:v>
                </c:pt>
                <c:pt idx="13">
                  <c:v>2.5338826883771142E-6</c:v>
                </c:pt>
                <c:pt idx="14">
                  <c:v>2.4878229918241247E-6</c:v>
                </c:pt>
                <c:pt idx="15">
                  <c:v>2.424676938504103E-6</c:v>
                </c:pt>
                <c:pt idx="16">
                  <c:v>2.3635758303766479E-6</c:v>
                </c:pt>
                <c:pt idx="17">
                  <c:v>2.3425230017065469E-6</c:v>
                </c:pt>
                <c:pt idx="18">
                  <c:v>2.2917481262980496E-6</c:v>
                </c:pt>
                <c:pt idx="19">
                  <c:v>2.2227785412334166E-6</c:v>
                </c:pt>
                <c:pt idx="20">
                  <c:v>2.201924079720536E-6</c:v>
                </c:pt>
                <c:pt idx="21">
                  <c:v>2.1350344146809438E-6</c:v>
                </c:pt>
                <c:pt idx="22">
                  <c:v>2.1934095431525532E-6</c:v>
                </c:pt>
                <c:pt idx="23">
                  <c:v>2.1053240901193414E-6</c:v>
                </c:pt>
                <c:pt idx="24">
                  <c:v>2.0639677019220107E-6</c:v>
                </c:pt>
                <c:pt idx="25">
                  <c:v>2.1137745742610444E-6</c:v>
                </c:pt>
                <c:pt idx="26">
                  <c:v>2.1130409721524188E-6</c:v>
                </c:pt>
                <c:pt idx="27">
                  <c:v>2.113792210706505E-6</c:v>
                </c:pt>
                <c:pt idx="28">
                  <c:v>2.1134436340072621E-6</c:v>
                </c:pt>
                <c:pt idx="29">
                  <c:v>2.0561512762571967E-6</c:v>
                </c:pt>
                <c:pt idx="30">
                  <c:v>2.165253067183995E-6</c:v>
                </c:pt>
                <c:pt idx="31">
                  <c:v>2.3245406549723589E-6</c:v>
                </c:pt>
                <c:pt idx="32">
                  <c:v>2.1847901225868437E-6</c:v>
                </c:pt>
                <c:pt idx="33">
                  <c:v>2.1673471588309996E-6</c:v>
                </c:pt>
                <c:pt idx="34">
                  <c:v>2.3752325866647129E-6</c:v>
                </c:pt>
                <c:pt idx="35">
                  <c:v>1.8161985481510157E-6</c:v>
                </c:pt>
                <c:pt idx="36">
                  <c:v>2.0204520911180475E-6</c:v>
                </c:pt>
                <c:pt idx="37">
                  <c:v>2.2063505319734992E-6</c:v>
                </c:pt>
                <c:pt idx="38">
                  <c:v>2.3604937841975497E-6</c:v>
                </c:pt>
                <c:pt idx="39">
                  <c:v>2.3707130699036096E-6</c:v>
                </c:pt>
                <c:pt idx="40">
                  <c:v>2.171342454242954E-6</c:v>
                </c:pt>
                <c:pt idx="41">
                  <c:v>2.1885839386773833E-6</c:v>
                </c:pt>
                <c:pt idx="42">
                  <c:v>2.2571638868328327E-6</c:v>
                </c:pt>
                <c:pt idx="43">
                  <c:v>1.9358480348360128E-6</c:v>
                </c:pt>
                <c:pt idx="44">
                  <c:v>2.817683482704632E-6</c:v>
                </c:pt>
                <c:pt idx="45">
                  <c:v>2.2972851255153405E-6</c:v>
                </c:pt>
                <c:pt idx="46">
                  <c:v>4.9139114090160469E-6</c:v>
                </c:pt>
                <c:pt idx="47">
                  <c:v>4.056670133927369E-12</c:v>
                </c:pt>
                <c:pt idx="48">
                  <c:v>2.7991969974386124E-11</c:v>
                </c:pt>
                <c:pt idx="49">
                  <c:v>9.9411024868619704E-11</c:v>
                </c:pt>
                <c:pt idx="50">
                  <c:v>3.2100225563909774E-9</c:v>
                </c:pt>
                <c:pt idx="51">
                  <c:v>2.0252607806649893E-11</c:v>
                </c:pt>
                <c:pt idx="52">
                  <c:v>5.828126260401718E-11</c:v>
                </c:pt>
                <c:pt idx="53">
                  <c:v>2.8426404327798187E-11</c:v>
                </c:pt>
                <c:pt idx="54">
                  <c:v>7.648723350794627E-12</c:v>
                </c:pt>
                <c:pt idx="55">
                  <c:v>3.2100225563909774E-9</c:v>
                </c:pt>
                <c:pt idx="56">
                  <c:v>1.2858106312139924E-11</c:v>
                </c:pt>
                <c:pt idx="57">
                  <c:v>2.3962802413344184E-11</c:v>
                </c:pt>
                <c:pt idx="58">
                  <c:v>4.217454150631404E-11</c:v>
                </c:pt>
                <c:pt idx="59">
                  <c:v>1.322970113808533E-11</c:v>
                </c:pt>
                <c:pt idx="60">
                  <c:v>3.2100225563909774E-9</c:v>
                </c:pt>
                <c:pt idx="61">
                  <c:v>2.6004452161094376E-11</c:v>
                </c:pt>
                <c:pt idx="62">
                  <c:v>7.4986872078907209E-11</c:v>
                </c:pt>
                <c:pt idx="63">
                  <c:v>2.428063178899353E-11</c:v>
                </c:pt>
                <c:pt idx="64">
                  <c:v>1.0263747000167126E-11</c:v>
                </c:pt>
                <c:pt idx="65">
                  <c:v>1.1151869854869669E-10</c:v>
                </c:pt>
                <c:pt idx="66">
                  <c:v>3.2100225563909774E-9</c:v>
                </c:pt>
                <c:pt idx="67">
                  <c:v>3.2100225563909774E-9</c:v>
                </c:pt>
                <c:pt idx="68">
                  <c:v>3.2100225563909774E-9</c:v>
                </c:pt>
                <c:pt idx="69">
                  <c:v>3.2100225563909774E-9</c:v>
                </c:pt>
                <c:pt idx="70">
                  <c:v>3.2100225563909774E-9</c:v>
                </c:pt>
                <c:pt idx="71">
                  <c:v>3.2100225563909774E-9</c:v>
                </c:pt>
                <c:pt idx="72">
                  <c:v>3.2100225563909774E-9</c:v>
                </c:pt>
                <c:pt idx="73">
                  <c:v>3.2100225563909774E-9</c:v>
                </c:pt>
                <c:pt idx="74">
                  <c:v>3.2100225563909774E-9</c:v>
                </c:pt>
                <c:pt idx="75">
                  <c:v>3.2100225563909774E-9</c:v>
                </c:pt>
                <c:pt idx="76">
                  <c:v>9.6677092362240919E-12</c:v>
                </c:pt>
                <c:pt idx="77">
                  <c:v>1.393434293192485E-11</c:v>
                </c:pt>
                <c:pt idx="78">
                  <c:v>5.0280287807373977E-11</c:v>
                </c:pt>
                <c:pt idx="79">
                  <c:v>3.2100225563909774E-9</c:v>
                </c:pt>
                <c:pt idx="80">
                  <c:v>3.2100225563909774E-9</c:v>
                </c:pt>
                <c:pt idx="81">
                  <c:v>1.8797444813007894E-11</c:v>
                </c:pt>
                <c:pt idx="82">
                  <c:v>3.2100225563909774E-9</c:v>
                </c:pt>
                <c:pt idx="83">
                  <c:v>3.2100225563909774E-9</c:v>
                </c:pt>
                <c:pt idx="84">
                  <c:v>3.2100225563909774E-9</c:v>
                </c:pt>
                <c:pt idx="85">
                  <c:v>3.2100225563909774E-9</c:v>
                </c:pt>
                <c:pt idx="86">
                  <c:v>5.6621757747069103E-12</c:v>
                </c:pt>
                <c:pt idx="87">
                  <c:v>3.2100225563909774E-9</c:v>
                </c:pt>
                <c:pt idx="88">
                  <c:v>3.2100225563909774E-9</c:v>
                </c:pt>
                <c:pt idx="89">
                  <c:v>1.4259855335806855E-11</c:v>
                </c:pt>
                <c:pt idx="90">
                  <c:v>3.7054318063785889E-11</c:v>
                </c:pt>
                <c:pt idx="91">
                  <c:v>3.2100225563909774E-9</c:v>
                </c:pt>
                <c:pt idx="92">
                  <c:v>1.4041164361385415E-11</c:v>
                </c:pt>
                <c:pt idx="93">
                  <c:v>3.1891912176310456E-11</c:v>
                </c:pt>
                <c:pt idx="94">
                  <c:v>1.6033942056049222E-10</c:v>
                </c:pt>
                <c:pt idx="95">
                  <c:v>7.5853707383562903E-12</c:v>
                </c:pt>
                <c:pt idx="96">
                  <c:v>7.1138959603697699E-12</c:v>
                </c:pt>
                <c:pt idx="97">
                  <c:v>1.5464054568441472E-11</c:v>
                </c:pt>
                <c:pt idx="98">
                  <c:v>7.5853707383562903E-12</c:v>
                </c:pt>
                <c:pt idx="99">
                  <c:v>3.2100225563909774E-9</c:v>
                </c:pt>
                <c:pt idx="100">
                  <c:v>1.4149693561597381E-11</c:v>
                </c:pt>
                <c:pt idx="101">
                  <c:v>2.0947602030513272E-11</c:v>
                </c:pt>
                <c:pt idx="102">
                  <c:v>1.1070329255485853E-11</c:v>
                </c:pt>
                <c:pt idx="103">
                  <c:v>1.7207762291108935E-11</c:v>
                </c:pt>
                <c:pt idx="104">
                  <c:v>3.2100225563909774E-9</c:v>
                </c:pt>
                <c:pt idx="105">
                  <c:v>9.7708558439229143E-12</c:v>
                </c:pt>
                <c:pt idx="106">
                  <c:v>9.6677092362240919E-12</c:v>
                </c:pt>
                <c:pt idx="107">
                  <c:v>6.2624334698473227E-12</c:v>
                </c:pt>
                <c:pt idx="108">
                  <c:v>1.2949010177852284E-11</c:v>
                </c:pt>
                <c:pt idx="109">
                  <c:v>5.320176328608314E-11</c:v>
                </c:pt>
                <c:pt idx="110">
                  <c:v>6.1160215187398976E-12</c:v>
                </c:pt>
                <c:pt idx="111">
                  <c:v>3.2100225563909774E-9</c:v>
                </c:pt>
                <c:pt idx="112">
                  <c:v>1.6289377246107631E-11</c:v>
                </c:pt>
                <c:pt idx="113">
                  <c:v>2.0947602030513272E-11</c:v>
                </c:pt>
                <c:pt idx="114">
                  <c:v>2.9337269802147458E-11</c:v>
                </c:pt>
                <c:pt idx="115">
                  <c:v>2.1746010829056443E-10</c:v>
                </c:pt>
                <c:pt idx="116">
                  <c:v>1.9814419218249904E-11</c:v>
                </c:pt>
                <c:pt idx="117">
                  <c:v>1.5729662811965784E-11</c:v>
                </c:pt>
                <c:pt idx="118">
                  <c:v>9.0917434675773741E-12</c:v>
                </c:pt>
                <c:pt idx="119">
                  <c:v>2.2491233075382807E-11</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0</c:v>
                </c:pt>
              </c:numCache>
            </c:numRef>
          </c:xVal>
          <c:yVal>
            <c:numRef>
              <c:f>Calc!$S$6</c:f>
              <c:numCache>
                <c:formatCode>0.00E+00</c:formatCode>
                <c:ptCount val="1"/>
                <c:pt idx="0">
                  <c:v>0</c:v>
                </c:pt>
              </c:numCache>
            </c:numRef>
          </c:yVal>
          <c:smooth val="0"/>
        </c:ser>
        <c:dLbls>
          <c:showLegendKey val="0"/>
          <c:showVal val="0"/>
          <c:showCatName val="0"/>
          <c:showSerName val="0"/>
          <c:showPercent val="0"/>
          <c:showBubbleSize val="0"/>
        </c:dLbls>
        <c:axId val="129253376"/>
        <c:axId val="129255680"/>
      </c:scatterChart>
      <c:valAx>
        <c:axId val="129253376"/>
        <c:scaling>
          <c:logBase val="10"/>
          <c:orientation val="minMax"/>
          <c:min val="1000000000000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layout/>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129255680"/>
        <c:crosses val="autoZero"/>
        <c:crossBetween val="midCat"/>
      </c:valAx>
      <c:valAx>
        <c:axId val="129255680"/>
        <c:scaling>
          <c:orientation val="minMax"/>
          <c:max val="1.6703116042792772E-5"/>
          <c:min val="0"/>
        </c:scaling>
        <c:delete val="0"/>
        <c:axPos val="l"/>
        <c:majorGridlines/>
        <c:title>
          <c:tx>
            <c:rich>
              <a:bodyPr rot="-5400000" vert="horz"/>
              <a:lstStyle/>
              <a:p>
                <a:pPr>
                  <a:defRPr sz="1200" baseline="0">
                    <a:solidFill>
                      <a:sysClr val="windowText" lastClr="000000"/>
                    </a:solidFill>
                    <a:latin typeface="Arial" pitchFamily="34" charset="0"/>
                    <a:cs typeface="Arial" pitchFamily="34" charset="0"/>
                  </a:defRPr>
                </a:pPr>
                <a:r>
                  <a:rPr lang="en-US" sz="1200" baseline="0">
                    <a:solidFill>
                      <a:sysClr val="windowText" lastClr="000000"/>
                    </a:solidFill>
                    <a:latin typeface="Arial" pitchFamily="34" charset="0"/>
                    <a:cs typeface="Arial" pitchFamily="34" charset="0"/>
                  </a:rPr>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sz="1000" b="1" baseline="0">
                <a:solidFill>
                  <a:sysClr val="windowText" lastClr="000000"/>
                </a:solidFill>
                <a:latin typeface="Arial" pitchFamily="34" charset="0"/>
                <a:cs typeface="Arial" pitchFamily="34" charset="0"/>
              </a:defRPr>
            </a:pPr>
            <a:endParaRPr lang="en-US"/>
          </a:p>
        </c:txPr>
        <c:crossAx val="129253376"/>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Calc!$C$9:$C$133</c:f>
              <c:numCache>
                <c:formatCode>0.0000</c:formatCode>
                <c:ptCount val="125"/>
                <c:pt idx="0">
                  <c:v>0.424757</c:v>
                </c:pt>
                <c:pt idx="1">
                  <c:v>0.49633100000000002</c:v>
                </c:pt>
                <c:pt idx="2">
                  <c:v>0.49629099999999998</c:v>
                </c:pt>
                <c:pt idx="3">
                  <c:v>0.462395</c:v>
                </c:pt>
                <c:pt idx="4">
                  <c:v>0.40050200000000002</c:v>
                </c:pt>
                <c:pt idx="5">
                  <c:v>0.34642499999999998</c:v>
                </c:pt>
                <c:pt idx="6">
                  <c:v>0.30016500000000002</c:v>
                </c:pt>
                <c:pt idx="7">
                  <c:v>0.26099099999999997</c:v>
                </c:pt>
                <c:pt idx="8">
                  <c:v>0.227219</c:v>
                </c:pt>
                <c:pt idx="9">
                  <c:v>0.19823499999999999</c:v>
                </c:pt>
                <c:pt idx="10">
                  <c:v>0.17330999999999999</c:v>
                </c:pt>
                <c:pt idx="11">
                  <c:v>0.15192800000000001</c:v>
                </c:pt>
                <c:pt idx="12">
                  <c:v>0.13333600000000001</c:v>
                </c:pt>
                <c:pt idx="13">
                  <c:v>0.11726300000000001</c:v>
                </c:pt>
                <c:pt idx="14">
                  <c:v>0.103226</c:v>
                </c:pt>
                <c:pt idx="15">
                  <c:v>9.0948399999999999E-2</c:v>
                </c:pt>
                <c:pt idx="16">
                  <c:v>8.0296000000000006E-2</c:v>
                </c:pt>
                <c:pt idx="17">
                  <c:v>7.0941100000000007E-2</c:v>
                </c:pt>
                <c:pt idx="18">
                  <c:v>6.2833899999999998E-2</c:v>
                </c:pt>
                <c:pt idx="19">
                  <c:v>5.5670400000000002E-2</c:v>
                </c:pt>
                <c:pt idx="20">
                  <c:v>4.9349700000000003E-2</c:v>
                </c:pt>
                <c:pt idx="21">
                  <c:v>4.3793199999999997E-2</c:v>
                </c:pt>
                <c:pt idx="22">
                  <c:v>3.8832899999999997E-2</c:v>
                </c:pt>
                <c:pt idx="23">
                  <c:v>3.4479999999999997E-2</c:v>
                </c:pt>
                <c:pt idx="24">
                  <c:v>3.07523E-2</c:v>
                </c:pt>
                <c:pt idx="25">
                  <c:v>2.7345700000000001E-2</c:v>
                </c:pt>
                <c:pt idx="26">
                  <c:v>2.43073E-2</c:v>
                </c:pt>
                <c:pt idx="27">
                  <c:v>2.1648299999999999E-2</c:v>
                </c:pt>
                <c:pt idx="28">
                  <c:v>1.9240500000000001E-2</c:v>
                </c:pt>
                <c:pt idx="29">
                  <c:v>1.7132100000000001E-2</c:v>
                </c:pt>
                <c:pt idx="30">
                  <c:v>1.5244600000000001E-2</c:v>
                </c:pt>
                <c:pt idx="31">
                  <c:v>1.35569E-2</c:v>
                </c:pt>
                <c:pt idx="32">
                  <c:v>1.20398E-2</c:v>
                </c:pt>
                <c:pt idx="33">
                  <c:v>1.07171E-2</c:v>
                </c:pt>
                <c:pt idx="34">
                  <c:v>9.5097399999999992E-3</c:v>
                </c:pt>
                <c:pt idx="35">
                  <c:v>8.3878400000000006E-3</c:v>
                </c:pt>
                <c:pt idx="36">
                  <c:v>7.4370199999999999E-3</c:v>
                </c:pt>
                <c:pt idx="37">
                  <c:v>6.5701300000000004E-3</c:v>
                </c:pt>
                <c:pt idx="38">
                  <c:v>5.8401900000000003E-3</c:v>
                </c:pt>
                <c:pt idx="39">
                  <c:v>5.1270300000000003E-3</c:v>
                </c:pt>
                <c:pt idx="40">
                  <c:v>4.5244999999999999E-3</c:v>
                </c:pt>
                <c:pt idx="41">
                  <c:v>3.9765199999999999E-3</c:v>
                </c:pt>
                <c:pt idx="42">
                  <c:v>3.46898E-3</c:v>
                </c:pt>
                <c:pt idx="43">
                  <c:v>3.0489800000000002E-3</c:v>
                </c:pt>
                <c:pt idx="44">
                  <c:v>2.6682699999999999E-3</c:v>
                </c:pt>
                <c:pt idx="45">
                  <c:v>2.32438E-3</c:v>
                </c:pt>
                <c:pt idx="46">
                  <c:v>2.0201500000000001E-3</c:v>
                </c:pt>
                <c:pt idx="47">
                  <c:v>1.78498E-3</c:v>
                </c:pt>
                <c:pt idx="48">
                  <c:v>1.5385500000000001E-3</c:v>
                </c:pt>
                <c:pt idx="49">
                  <c:v>8.7326500000000002E-4</c:v>
                </c:pt>
                <c:pt idx="50">
                  <c:v>8.6101799999999996E-5</c:v>
                </c:pt>
                <c:pt idx="51">
                  <c:v>1.24781E-5</c:v>
                </c:pt>
                <c:pt idx="52">
                  <c:v>3.5135599999999999E-6</c:v>
                </c:pt>
                <c:pt idx="53">
                  <c:v>-4.8787700000000002E-6</c:v>
                </c:pt>
                <c:pt idx="54">
                  <c:v>1.7246500000000002E-5</c:v>
                </c:pt>
                <c:pt idx="55">
                  <c:v>5.99312E-6</c:v>
                </c:pt>
                <c:pt idx="56">
                  <c:v>1.22874E-5</c:v>
                </c:pt>
                <c:pt idx="57">
                  <c:v>4.5666E-5</c:v>
                </c:pt>
                <c:pt idx="58">
                  <c:v>-5.2602400000000003E-6</c:v>
                </c:pt>
                <c:pt idx="59">
                  <c:v>2.7164700000000001E-5</c:v>
                </c:pt>
                <c:pt idx="60">
                  <c:v>1.4576199999999999E-5</c:v>
                </c:pt>
                <c:pt idx="61">
                  <c:v>8.2819299999999998E-6</c:v>
                </c:pt>
                <c:pt idx="62">
                  <c:v>2.6401700000000002E-5</c:v>
                </c:pt>
                <c:pt idx="63">
                  <c:v>-7.9305300000000001E-6</c:v>
                </c:pt>
                <c:pt idx="64">
                  <c:v>1.3431800000000001E-5</c:v>
                </c:pt>
                <c:pt idx="65">
                  <c:v>4.6579699999999997E-6</c:v>
                </c:pt>
                <c:pt idx="66">
                  <c:v>1.43854E-5</c:v>
                </c:pt>
                <c:pt idx="67">
                  <c:v>3.40311E-5</c:v>
                </c:pt>
                <c:pt idx="68">
                  <c:v>3.1320900000000002E-6</c:v>
                </c:pt>
                <c:pt idx="69">
                  <c:v>-2.43337E-5</c:v>
                </c:pt>
                <c:pt idx="70">
                  <c:v>-5.77123E-5</c:v>
                </c:pt>
                <c:pt idx="71">
                  <c:v>-1.5861099999999999E-4</c:v>
                </c:pt>
                <c:pt idx="72">
                  <c:v>-1.42208E-4</c:v>
                </c:pt>
                <c:pt idx="73">
                  <c:v>-2.6313399999999999E-4</c:v>
                </c:pt>
                <c:pt idx="74">
                  <c:v>-3.2474100000000003E-4</c:v>
                </c:pt>
                <c:pt idx="75">
                  <c:v>-3.5640299999999998E-4</c:v>
                </c:pt>
                <c:pt idx="76">
                  <c:v>-1.22371E-4</c:v>
                </c:pt>
                <c:pt idx="77">
                  <c:v>-8.9946500000000004E-5</c:v>
                </c:pt>
                <c:pt idx="78">
                  <c:v>-3.2153899999999997E-5</c:v>
                </c:pt>
                <c:pt idx="79">
                  <c:v>3.61292E-5</c:v>
                </c:pt>
                <c:pt idx="80">
                  <c:v>2.5066600000000002E-5</c:v>
                </c:pt>
                <c:pt idx="81">
                  <c:v>6.9467900000000003E-6</c:v>
                </c:pt>
                <c:pt idx="82">
                  <c:v>-1.4034E-5</c:v>
                </c:pt>
                <c:pt idx="83">
                  <c:v>-1.21267E-5</c:v>
                </c:pt>
                <c:pt idx="84">
                  <c:v>1.8581599999999998E-5</c:v>
                </c:pt>
                <c:pt idx="85">
                  <c:v>-6.4046499999999997E-6</c:v>
                </c:pt>
                <c:pt idx="86">
                  <c:v>-1.7467300000000001E-5</c:v>
                </c:pt>
                <c:pt idx="87">
                  <c:v>-5.6758700000000003E-5</c:v>
                </c:pt>
                <c:pt idx="88">
                  <c:v>-4.3025699999999997E-5</c:v>
                </c:pt>
                <c:pt idx="89">
                  <c:v>6.1687700000000002E-5</c:v>
                </c:pt>
                <c:pt idx="90">
                  <c:v>-1.0219300000000001E-5</c:v>
                </c:pt>
                <c:pt idx="91">
                  <c:v>-6.5953899999999997E-6</c:v>
                </c:pt>
                <c:pt idx="92">
                  <c:v>2.44944E-5</c:v>
                </c:pt>
                <c:pt idx="93">
                  <c:v>9.4263399999999993E-6</c:v>
                </c:pt>
                <c:pt idx="94">
                  <c:v>-1.7848700000000001E-5</c:v>
                </c:pt>
                <c:pt idx="95">
                  <c:v>2.48759E-5</c:v>
                </c:pt>
                <c:pt idx="96">
                  <c:v>1.09522E-5</c:v>
                </c:pt>
                <c:pt idx="97">
                  <c:v>2.1784199999999999E-6</c:v>
                </c:pt>
                <c:pt idx="98">
                  <c:v>4.6047400000000002E-5</c:v>
                </c:pt>
                <c:pt idx="99">
                  <c:v>4.9099199999999999E-5</c:v>
                </c:pt>
                <c:pt idx="100">
                  <c:v>2.2586999999999999E-5</c:v>
                </c:pt>
                <c:pt idx="101">
                  <c:v>4.6047400000000002E-5</c:v>
                </c:pt>
                <c:pt idx="102">
                  <c:v>-1.2548100000000001E-6</c:v>
                </c:pt>
                <c:pt idx="103">
                  <c:v>2.4685099999999999E-5</c:v>
                </c:pt>
                <c:pt idx="104">
                  <c:v>1.6674300000000001E-5</c:v>
                </c:pt>
                <c:pt idx="105">
                  <c:v>3.1551599999999998E-5</c:v>
                </c:pt>
                <c:pt idx="106">
                  <c:v>2.0298200000000002E-5</c:v>
                </c:pt>
                <c:pt idx="107">
                  <c:v>-1.23174E-5</c:v>
                </c:pt>
                <c:pt idx="108">
                  <c:v>3.5747799999999997E-5</c:v>
                </c:pt>
                <c:pt idx="109">
                  <c:v>3.61292E-5</c:v>
                </c:pt>
                <c:pt idx="110">
                  <c:v>5.57749E-5</c:v>
                </c:pt>
                <c:pt idx="111">
                  <c:v>2.6974E-5</c:v>
                </c:pt>
                <c:pt idx="112">
                  <c:v>6.5653200000000002E-6</c:v>
                </c:pt>
                <c:pt idx="113">
                  <c:v>5.7110100000000001E-5</c:v>
                </c:pt>
                <c:pt idx="114">
                  <c:v>-1.9756099999999999E-5</c:v>
                </c:pt>
                <c:pt idx="115">
                  <c:v>2.14426E-5</c:v>
                </c:pt>
                <c:pt idx="116">
                  <c:v>1.6674300000000001E-5</c:v>
                </c:pt>
                <c:pt idx="117">
                  <c:v>1.1905900000000001E-5</c:v>
                </c:pt>
                <c:pt idx="118">
                  <c:v>1.60621E-6</c:v>
                </c:pt>
                <c:pt idx="119">
                  <c:v>1.7627900000000001E-5</c:v>
                </c:pt>
                <c:pt idx="120">
                  <c:v>2.22056E-5</c:v>
                </c:pt>
                <c:pt idx="121">
                  <c:v>3.8417999999999997E-5</c:v>
                </c:pt>
                <c:pt idx="122">
                  <c:v>1.5529899999999998E-5</c:v>
                </c:pt>
                <c:pt idx="123">
                  <c:v>7.9004600000000006E-6</c:v>
                </c:pt>
                <c:pt idx="124">
                  <c:v>-1.3271100000000001E-5</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3.1871900000000002E-2</c:v>
                </c:pt>
              </c:numCache>
            </c:numRef>
          </c:xVal>
          <c:yVal>
            <c:numRef>
              <c:f>Command!$E$17:$E$18</c:f>
              <c:numCache>
                <c:formatCode>General</c:formatCode>
                <c:ptCount val="2"/>
                <c:pt idx="0">
                  <c:v>0.5</c:v>
                </c:pt>
                <c:pt idx="1">
                  <c:v>0.5</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3.1871900000000002E-2</c:v>
                </c:pt>
              </c:numCache>
            </c:numRef>
          </c:xVal>
          <c:yVal>
            <c:numRef>
              <c:f>Command!$F$17:$F$18</c:f>
              <c:numCache>
                <c:formatCode>General</c:formatCode>
                <c:ptCount val="2"/>
                <c:pt idx="0">
                  <c:v>0.2</c:v>
                </c:pt>
                <c:pt idx="1">
                  <c:v>0.2</c:v>
                </c:pt>
              </c:numCache>
            </c:numRef>
          </c:yVal>
          <c:smooth val="1"/>
        </c:ser>
        <c:dLbls>
          <c:showLegendKey val="0"/>
          <c:showVal val="0"/>
          <c:showCatName val="0"/>
          <c:showSerName val="0"/>
          <c:showPercent val="0"/>
          <c:showBubbleSize val="0"/>
        </c:dLbls>
        <c:axId val="130575744"/>
        <c:axId val="130586112"/>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Calc!$B$9:$B$133</c:f>
              <c:numCache>
                <c:formatCode>0.00E+00</c:formatCode>
                <c:ptCount val="125"/>
                <c:pt idx="0">
                  <c:v>0.20220299999999999</c:v>
                </c:pt>
                <c:pt idx="1">
                  <c:v>0.293182</c:v>
                </c:pt>
                <c:pt idx="2">
                  <c:v>0.25459199999999998</c:v>
                </c:pt>
                <c:pt idx="3">
                  <c:v>0.21709899999999999</c:v>
                </c:pt>
                <c:pt idx="4">
                  <c:v>0.184446</c:v>
                </c:pt>
                <c:pt idx="5">
                  <c:v>0.155977</c:v>
                </c:pt>
                <c:pt idx="6">
                  <c:v>0.13179199999999999</c:v>
                </c:pt>
                <c:pt idx="7">
                  <c:v>0.111986</c:v>
                </c:pt>
                <c:pt idx="8">
                  <c:v>9.5163600000000001E-2</c:v>
                </c:pt>
                <c:pt idx="9">
                  <c:v>8.0697199999999997E-2</c:v>
                </c:pt>
                <c:pt idx="10">
                  <c:v>6.8682800000000002E-2</c:v>
                </c:pt>
                <c:pt idx="11">
                  <c:v>5.89639E-2</c:v>
                </c:pt>
                <c:pt idx="12">
                  <c:v>5.0375999999999997E-2</c:v>
                </c:pt>
                <c:pt idx="13">
                  <c:v>4.33312E-2</c:v>
                </c:pt>
                <c:pt idx="14">
                  <c:v>3.7079500000000001E-2</c:v>
                </c:pt>
                <c:pt idx="15">
                  <c:v>3.2027899999999998E-2</c:v>
                </c:pt>
                <c:pt idx="16">
                  <c:v>2.7498700000000001E-2</c:v>
                </c:pt>
                <c:pt idx="17">
                  <c:v>2.38582E-2</c:v>
                </c:pt>
                <c:pt idx="18">
                  <c:v>2.0599099999999999E-2</c:v>
                </c:pt>
                <c:pt idx="19">
                  <c:v>1.77936E-2</c:v>
                </c:pt>
                <c:pt idx="20">
                  <c:v>1.5634800000000001E-2</c:v>
                </c:pt>
                <c:pt idx="21">
                  <c:v>1.35753E-2</c:v>
                </c:pt>
                <c:pt idx="22">
                  <c:v>1.16767E-2</c:v>
                </c:pt>
                <c:pt idx="23">
                  <c:v>1.02714E-2</c:v>
                </c:pt>
                <c:pt idx="24">
                  <c:v>8.8833799999999997E-3</c:v>
                </c:pt>
                <c:pt idx="25">
                  <c:v>8.1156700000000002E-3</c:v>
                </c:pt>
                <c:pt idx="26">
                  <c:v>6.9247199999999997E-3</c:v>
                </c:pt>
                <c:pt idx="27">
                  <c:v>6.0463899999999996E-3</c:v>
                </c:pt>
                <c:pt idx="28">
                  <c:v>5.50375E-3</c:v>
                </c:pt>
                <c:pt idx="29">
                  <c:v>4.8991199999999999E-3</c:v>
                </c:pt>
                <c:pt idx="30">
                  <c:v>4.3610599999999999E-3</c:v>
                </c:pt>
                <c:pt idx="31">
                  <c:v>3.8777299999999998E-3</c:v>
                </c:pt>
                <c:pt idx="32">
                  <c:v>3.3505399999999999E-3</c:v>
                </c:pt>
                <c:pt idx="33">
                  <c:v>3.1407399999999999E-3</c:v>
                </c:pt>
                <c:pt idx="34">
                  <c:v>2.9919600000000001E-3</c:v>
                </c:pt>
                <c:pt idx="35">
                  <c:v>2.4804100000000002E-3</c:v>
                </c:pt>
                <c:pt idx="36">
                  <c:v>2.1817199999999998E-3</c:v>
                </c:pt>
                <c:pt idx="37">
                  <c:v>2.1122900000000002E-3</c:v>
                </c:pt>
                <c:pt idx="38">
                  <c:v>1.4357599999999999E-3</c:v>
                </c:pt>
                <c:pt idx="39">
                  <c:v>1.40219E-3</c:v>
                </c:pt>
                <c:pt idx="40">
                  <c:v>1.35126E-3</c:v>
                </c:pt>
                <c:pt idx="41">
                  <c:v>1.2705800000000001E-3</c:v>
                </c:pt>
                <c:pt idx="42">
                  <c:v>1.1132200000000001E-3</c:v>
                </c:pt>
                <c:pt idx="43">
                  <c:v>8.9616700000000001E-4</c:v>
                </c:pt>
                <c:pt idx="44">
                  <c:v>7.9049999999999997E-4</c:v>
                </c:pt>
                <c:pt idx="45">
                  <c:v>7.1020100000000004E-4</c:v>
                </c:pt>
                <c:pt idx="46">
                  <c:v>5.2938400000000004E-4</c:v>
                </c:pt>
                <c:pt idx="47">
                  <c:v>6.8082799999999997E-4</c:v>
                </c:pt>
                <c:pt idx="48">
                  <c:v>4.7845800000000002E-4</c:v>
                </c:pt>
                <c:pt idx="49">
                  <c:v>5.8088200000000001E-4</c:v>
                </c:pt>
                <c:pt idx="50">
                  <c:v>-9.7370700000000006E-5</c:v>
                </c:pt>
                <c:pt idx="51">
                  <c:v>-2.7093899999999999E-4</c:v>
                </c:pt>
                <c:pt idx="52">
                  <c:v>-4.5022999999999998E-4</c:v>
                </c:pt>
                <c:pt idx="53">
                  <c:v>-3.0088499999999998E-4</c:v>
                </c:pt>
                <c:pt idx="54">
                  <c:v>-5.5227300000000004E-4</c:v>
                </c:pt>
                <c:pt idx="55">
                  <c:v>-5.5551600000000004E-4</c:v>
                </c:pt>
                <c:pt idx="56">
                  <c:v>-3.1633399999999998E-4</c:v>
                </c:pt>
                <c:pt idx="57">
                  <c:v>-5.1679700000000005E-4</c:v>
                </c:pt>
                <c:pt idx="58">
                  <c:v>-3.5162000000000002E-4</c:v>
                </c:pt>
                <c:pt idx="59">
                  <c:v>-3.4914100000000002E-4</c:v>
                </c:pt>
                <c:pt idx="60">
                  <c:v>-3.7355500000000002E-4</c:v>
                </c:pt>
                <c:pt idx="61">
                  <c:v>-4.4336400000000002E-4</c:v>
                </c:pt>
                <c:pt idx="62">
                  <c:v>-3.0279200000000002E-4</c:v>
                </c:pt>
                <c:pt idx="63">
                  <c:v>-5.6409899999999998E-4</c:v>
                </c:pt>
                <c:pt idx="64">
                  <c:v>-5.5093799999999995E-4</c:v>
                </c:pt>
                <c:pt idx="65">
                  <c:v>-2.19822E-4</c:v>
                </c:pt>
                <c:pt idx="66">
                  <c:v>-4.32683E-4</c:v>
                </c:pt>
                <c:pt idx="67">
                  <c:v>-3.24154E-4</c:v>
                </c:pt>
                <c:pt idx="68">
                  <c:v>-2.5167499999999998E-4</c:v>
                </c:pt>
                <c:pt idx="69">
                  <c:v>-4.5118399999999998E-4</c:v>
                </c:pt>
                <c:pt idx="70">
                  <c:v>-5.0611600000000003E-4</c:v>
                </c:pt>
                <c:pt idx="71">
                  <c:v>-7.0600600000000002E-4</c:v>
                </c:pt>
                <c:pt idx="72">
                  <c:v>-5.7077500000000004E-4</c:v>
                </c:pt>
                <c:pt idx="73">
                  <c:v>-5.4979400000000004E-4</c:v>
                </c:pt>
                <c:pt idx="74">
                  <c:v>-6.8483400000000005E-4</c:v>
                </c:pt>
                <c:pt idx="75">
                  <c:v>-4.9314599999999997E-4</c:v>
                </c:pt>
                <c:pt idx="76">
                  <c:v>-3.9320000000000002E-4</c:v>
                </c:pt>
                <c:pt idx="77">
                  <c:v>-5.3033900000000001E-4</c:v>
                </c:pt>
                <c:pt idx="78">
                  <c:v>-4.7865000000000001E-4</c:v>
                </c:pt>
                <c:pt idx="79">
                  <c:v>-1.5173000000000001E-4</c:v>
                </c:pt>
                <c:pt idx="80">
                  <c:v>-4.0311900000000001E-4</c:v>
                </c:pt>
                <c:pt idx="81">
                  <c:v>-5.9175500000000002E-4</c:v>
                </c:pt>
                <c:pt idx="82">
                  <c:v>-3.3273800000000001E-4</c:v>
                </c:pt>
                <c:pt idx="83">
                  <c:v>-5.2461700000000001E-4</c:v>
                </c:pt>
                <c:pt idx="84">
                  <c:v>-3.5143000000000001E-4</c:v>
                </c:pt>
                <c:pt idx="85">
                  <c:v>-3.33691E-4</c:v>
                </c:pt>
                <c:pt idx="86">
                  <c:v>-3.58487E-4</c:v>
                </c:pt>
                <c:pt idx="87">
                  <c:v>-3.6287400000000001E-4</c:v>
                </c:pt>
                <c:pt idx="88">
                  <c:v>-4.3363599999999999E-4</c:v>
                </c:pt>
                <c:pt idx="89">
                  <c:v>-3.5085699999999999E-4</c:v>
                </c:pt>
                <c:pt idx="90">
                  <c:v>-1.8892299999999999E-4</c:v>
                </c:pt>
                <c:pt idx="91">
                  <c:v>-4.1627899999999998E-4</c:v>
                </c:pt>
                <c:pt idx="92">
                  <c:v>-4.9886799999999997E-4</c:v>
                </c:pt>
                <c:pt idx="93">
                  <c:v>-1.9445500000000001E-4</c:v>
                </c:pt>
                <c:pt idx="94">
                  <c:v>-5.8698699999999997E-4</c:v>
                </c:pt>
                <c:pt idx="95">
                  <c:v>-4.9943999999999998E-4</c:v>
                </c:pt>
                <c:pt idx="96">
                  <c:v>-3.5886799999999998E-4</c:v>
                </c:pt>
                <c:pt idx="97">
                  <c:v>-4.8837700000000002E-4</c:v>
                </c:pt>
                <c:pt idx="98">
                  <c:v>-3.93963E-4</c:v>
                </c:pt>
                <c:pt idx="99">
                  <c:v>-4.2142900000000002E-4</c:v>
                </c:pt>
                <c:pt idx="100">
                  <c:v>-4.7216499999999998E-4</c:v>
                </c:pt>
                <c:pt idx="101">
                  <c:v>-5.2156499999999998E-4</c:v>
                </c:pt>
                <c:pt idx="102">
                  <c:v>-3.2682499999999999E-4</c:v>
                </c:pt>
                <c:pt idx="103">
                  <c:v>-3.6306400000000002E-4</c:v>
                </c:pt>
                <c:pt idx="104">
                  <c:v>-4.13609E-4</c:v>
                </c:pt>
                <c:pt idx="105">
                  <c:v>-3.8747800000000002E-4</c:v>
                </c:pt>
                <c:pt idx="106">
                  <c:v>-3.3445399999999998E-4</c:v>
                </c:pt>
                <c:pt idx="107">
                  <c:v>-5.2881300000000005E-4</c:v>
                </c:pt>
                <c:pt idx="108">
                  <c:v>-2.9325500000000002E-4</c:v>
                </c:pt>
                <c:pt idx="109">
                  <c:v>-4.3039400000000001E-4</c:v>
                </c:pt>
                <c:pt idx="110">
                  <c:v>-2.54727E-4</c:v>
                </c:pt>
                <c:pt idx="111">
                  <c:v>-4.1189200000000002E-4</c:v>
                </c:pt>
                <c:pt idx="112">
                  <c:v>-1.9807900000000001E-4</c:v>
                </c:pt>
                <c:pt idx="113">
                  <c:v>-3.9758699999999997E-4</c:v>
                </c:pt>
                <c:pt idx="114">
                  <c:v>-5.5036600000000005E-4</c:v>
                </c:pt>
                <c:pt idx="115">
                  <c:v>-4.22574E-4</c:v>
                </c:pt>
                <c:pt idx="116">
                  <c:v>-2.4728800000000002E-4</c:v>
                </c:pt>
                <c:pt idx="117">
                  <c:v>-4.2181100000000002E-4</c:v>
                </c:pt>
                <c:pt idx="118">
                  <c:v>-5.8984800000000002E-4</c:v>
                </c:pt>
                <c:pt idx="119">
                  <c:v>-2.9668899999999999E-4</c:v>
                </c:pt>
                <c:pt idx="120">
                  <c:v>-2.8925000000000001E-4</c:v>
                </c:pt>
                <c:pt idx="121">
                  <c:v>-2.02084E-4</c:v>
                </c:pt>
                <c:pt idx="122">
                  <c:v>-3.42846E-4</c:v>
                </c:pt>
                <c:pt idx="123">
                  <c:v>-1.04237E-4</c:v>
                </c:pt>
                <c:pt idx="124">
                  <c:v>-3.2320100000000001E-4</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3.1871900000000002E-2</c:v>
                </c:pt>
              </c:numCache>
            </c:numRef>
          </c:xVal>
          <c:yVal>
            <c:numRef>
              <c:f>Command!$C$17:$C$18</c:f>
              <c:numCache>
                <c:formatCode>General</c:formatCode>
                <c:ptCount val="2"/>
                <c:pt idx="0">
                  <c:v>0.5</c:v>
                </c:pt>
                <c:pt idx="1">
                  <c:v>0.5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3.1871900000000002E-2</c:v>
                </c:pt>
              </c:numCache>
            </c:numRef>
          </c:xVal>
          <c:yVal>
            <c:numRef>
              <c:f>Command!$D$17:$D$18</c:f>
              <c:numCache>
                <c:formatCode>General</c:formatCode>
                <c:ptCount val="2"/>
                <c:pt idx="0">
                  <c:v>0.2</c:v>
                </c:pt>
                <c:pt idx="1">
                  <c:v>0.2</c:v>
                </c:pt>
              </c:numCache>
            </c:numRef>
          </c:yVal>
          <c:smooth val="0"/>
        </c:ser>
        <c:dLbls>
          <c:showLegendKey val="0"/>
          <c:showVal val="0"/>
          <c:showCatName val="0"/>
          <c:showSerName val="0"/>
          <c:showPercent val="0"/>
          <c:showBubbleSize val="0"/>
        </c:dLbls>
        <c:axId val="130588032"/>
        <c:axId val="130602112"/>
      </c:scatterChart>
      <c:valAx>
        <c:axId val="130575744"/>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30586112"/>
        <c:crosses val="autoZero"/>
        <c:crossBetween val="midCat"/>
      </c:valAx>
      <c:valAx>
        <c:axId val="130586112"/>
        <c:scaling>
          <c:orientation val="minMax"/>
          <c:max val="0.52500000000000002"/>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130575744"/>
        <c:crosses val="autoZero"/>
        <c:crossBetween val="midCat"/>
      </c:valAx>
      <c:valAx>
        <c:axId val="130588032"/>
        <c:scaling>
          <c:orientation val="minMax"/>
        </c:scaling>
        <c:delete val="1"/>
        <c:axPos val="b"/>
        <c:numFmt formatCode="0.00E+00" sourceLinked="1"/>
        <c:majorTickMark val="out"/>
        <c:minorTickMark val="none"/>
        <c:tickLblPos val="none"/>
        <c:crossAx val="130602112"/>
        <c:crosses val="autoZero"/>
        <c:crossBetween val="midCat"/>
      </c:valAx>
      <c:valAx>
        <c:axId val="130602112"/>
        <c:scaling>
          <c:orientation val="minMax"/>
          <c:max val="0.52500000000000002"/>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130588032"/>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46266628290124"/>
          <c:y val="8.0597797266354215E-2"/>
          <c:w val="0.61100955958469816"/>
          <c:h val="0.6961432236666657"/>
        </c:manualLayout>
      </c:layout>
      <c:scatterChart>
        <c:scatterStyle val="smoothMarker"/>
        <c:varyColors val="0"/>
        <c:ser>
          <c:idx val="0"/>
          <c:order val="0"/>
          <c:tx>
            <c:v>Light Intensity (suns)</c:v>
          </c:tx>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Calc!$E$9:$E$133</c:f>
              <c:numCache>
                <c:formatCode>0.00</c:formatCode>
                <c:ptCount val="125"/>
                <c:pt idx="0">
                  <c:v>39.036125316207666</c:v>
                </c:pt>
                <c:pt idx="1">
                  <c:v>45.613937178948596</c:v>
                </c:pt>
                <c:pt idx="2">
                  <c:v>45.610261088824949</c:v>
                </c:pt>
                <c:pt idx="3">
                  <c:v>42.495142318049716</c:v>
                </c:pt>
                <c:pt idx="4">
                  <c:v>36.807036167483538</c:v>
                </c:pt>
                <c:pt idx="5">
                  <c:v>31.837238027077223</c:v>
                </c:pt>
                <c:pt idx="6">
                  <c:v>27.585839799083889</c:v>
                </c:pt>
                <c:pt idx="7">
                  <c:v>23.985660936493936</c:v>
                </c:pt>
                <c:pt idx="8">
                  <c:v>20.881938045102</c:v>
                </c:pt>
                <c:pt idx="9">
                  <c:v>18.21824314151015</c:v>
                </c:pt>
                <c:pt idx="10">
                  <c:v>15.927579483214993</c:v>
                </c:pt>
                <c:pt idx="11">
                  <c:v>13.962525507621532</c:v>
                </c:pt>
                <c:pt idx="12">
                  <c:v>12.253878818152181</c:v>
                </c:pt>
                <c:pt idx="13">
                  <c:v>10.77673390421926</c:v>
                </c:pt>
                <c:pt idx="14">
                  <c:v>9.4867019775797754</c:v>
                </c:pt>
                <c:pt idx="15">
                  <c:v>8.3583628750287371</c:v>
                </c:pt>
                <c:pt idx="16">
                  <c:v>7.3793833142013225</c:v>
                </c:pt>
                <c:pt idx="17">
                  <c:v>6.5196469267595827</c:v>
                </c:pt>
                <c:pt idx="18">
                  <c:v>5.7745769804995817</c:v>
                </c:pt>
                <c:pt idx="19">
                  <c:v>5.1162351904816337</c:v>
                </c:pt>
                <c:pt idx="20">
                  <c:v>4.5353486193688477</c:v>
                </c:pt>
                <c:pt idx="21">
                  <c:v>4.0246937500682636</c:v>
                </c:pt>
                <c:pt idx="22">
                  <c:v>3.568831004060582</c:v>
                </c:pt>
                <c:pt idx="23">
                  <c:v>3.1687896865804217</c:v>
                </c:pt>
                <c:pt idx="24">
                  <c:v>2.826205657732805</c:v>
                </c:pt>
                <c:pt idx="25">
                  <c:v>2.5131314423527336</c:v>
                </c:pt>
                <c:pt idx="26">
                  <c:v>2.2338956365607974</c:v>
                </c:pt>
                <c:pt idx="27">
                  <c:v>1.9895275455916168</c:v>
                </c:pt>
                <c:pt idx="28">
                  <c:v>1.7682453005989158</c:v>
                </c:pt>
                <c:pt idx="29">
                  <c:v>1.5744785901816838</c:v>
                </c:pt>
                <c:pt idx="30">
                  <c:v>1.401013087472271</c:v>
                </c:pt>
                <c:pt idx="31">
                  <c:v>1.245909654930456</c:v>
                </c:pt>
                <c:pt idx="32">
                  <c:v>1.1064847467659793</c:v>
                </c:pt>
                <c:pt idx="33">
                  <c:v>0.98492563660240851</c:v>
                </c:pt>
                <c:pt idx="34">
                  <c:v>0.87396653231036259</c:v>
                </c:pt>
                <c:pt idx="35">
                  <c:v>0.7708613945674806</c:v>
                </c:pt>
                <c:pt idx="36">
                  <c:v>0.68347889428342024</c:v>
                </c:pt>
                <c:pt idx="37">
                  <c:v>0.60380975010129434</c:v>
                </c:pt>
                <c:pt idx="38">
                  <c:v>0.53672661947999178</c:v>
                </c:pt>
                <c:pt idx="39">
                  <c:v>0.47118560866555753</c:v>
                </c:pt>
                <c:pt idx="40">
                  <c:v>0.4158117441105893</c:v>
                </c:pt>
                <c:pt idx="41">
                  <c:v>0.36545114746173957</c:v>
                </c:pt>
                <c:pt idx="42">
                  <c:v>0.31880707792789309</c:v>
                </c:pt>
                <c:pt idx="43">
                  <c:v>0.2802081316296397</c:v>
                </c:pt>
                <c:pt idx="44">
                  <c:v>0.24522002485533478</c:v>
                </c:pt>
                <c:pt idx="45">
                  <c:v>0.21361575903984345</c:v>
                </c:pt>
                <c:pt idx="46">
                  <c:v>0.18565633658194433</c:v>
                </c:pt>
                <c:pt idx="47">
                  <c:v>0.16404368372251515</c:v>
                </c:pt>
                <c:pt idx="48">
                  <c:v>0.14139621149328041</c:v>
                </c:pt>
                <c:pt idx="49">
                  <c:v>8.0255021045581562E-2</c:v>
                </c:pt>
                <c:pt idx="50">
                  <c:v>7.9129494151975108E-3</c:v>
                </c:pt>
                <c:pt idx="51">
                  <c:v>1.1467655042957995E-3</c:v>
                </c:pt>
                <c:pt idx="52">
                  <c:v>3.2290408037069339E-4</c:v>
                </c:pt>
                <c:pt idx="53">
                  <c:v>1.0000000000000001E-5</c:v>
                </c:pt>
                <c:pt idx="54">
                  <c:v>1.5849922079353032E-3</c:v>
                </c:pt>
                <c:pt idx="55">
                  <c:v>5.507812310452106E-4</c:v>
                </c:pt>
                <c:pt idx="56">
                  <c:v>1.1292397446313305E-3</c:v>
                </c:pt>
                <c:pt idx="57">
                  <c:v>4.1968082896572381E-3</c:v>
                </c:pt>
                <c:pt idx="58">
                  <c:v>1.0000000000000001E-5</c:v>
                </c:pt>
                <c:pt idx="59">
                  <c:v>2.4964971345432484E-3</c:v>
                </c:pt>
                <c:pt idx="60">
                  <c:v>1.3395856215061934E-3</c:v>
                </c:pt>
                <c:pt idx="61">
                  <c:v>7.6112802694260431E-4</c:v>
                </c:pt>
                <c:pt idx="62">
                  <c:v>2.4263757154347546E-3</c:v>
                </c:pt>
                <c:pt idx="63">
                  <c:v>1.0000000000000001E-5</c:v>
                </c:pt>
                <c:pt idx="64">
                  <c:v>1.2344126830687622E-3</c:v>
                </c:pt>
                <c:pt idx="65">
                  <c:v>4.2807793783065571E-4</c:v>
                </c:pt>
                <c:pt idx="66">
                  <c:v>1.3220506716164154E-3</c:v>
                </c:pt>
                <c:pt idx="67">
                  <c:v>3.1275347651678366E-3</c:v>
                </c:pt>
                <c:pt idx="68">
                  <c:v>2.8784612788403932E-4</c:v>
                </c:pt>
                <c:pt idx="69">
                  <c:v>1.0000000000000001E-5</c:v>
                </c:pt>
                <c:pt idx="70">
                  <c:v>1.0000000000000001E-5</c:v>
                </c:pt>
                <c:pt idx="71">
                  <c:v>1.0000000000000001E-5</c:v>
                </c:pt>
                <c:pt idx="72">
                  <c:v>1.0000000000000001E-5</c:v>
                </c:pt>
                <c:pt idx="73">
                  <c:v>1.0000000000000001E-5</c:v>
                </c:pt>
                <c:pt idx="74">
                  <c:v>1.0000000000000001E-5</c:v>
                </c:pt>
                <c:pt idx="75">
                  <c:v>1.0000000000000001E-5</c:v>
                </c:pt>
                <c:pt idx="76">
                  <c:v>1.0000000000000001E-5</c:v>
                </c:pt>
                <c:pt idx="77">
                  <c:v>1.0000000000000001E-5</c:v>
                </c:pt>
                <c:pt idx="78">
                  <c:v>1.0000000000000001E-5</c:v>
                </c:pt>
                <c:pt idx="79">
                  <c:v>3.3203548823782306E-3</c:v>
                </c:pt>
                <c:pt idx="80">
                  <c:v>2.3036770173328544E-3</c:v>
                </c:pt>
                <c:pt idx="81">
                  <c:v>6.3842565275058034E-4</c:v>
                </c:pt>
                <c:pt idx="82">
                  <c:v>1.0000000000000001E-5</c:v>
                </c:pt>
                <c:pt idx="83">
                  <c:v>1.0000000000000001E-5</c:v>
                </c:pt>
                <c:pt idx="84">
                  <c:v>1.7076909060372032E-3</c:v>
                </c:pt>
                <c:pt idx="85">
                  <c:v>1.0000000000000001E-5</c:v>
                </c:pt>
                <c:pt idx="86">
                  <c:v>1.0000000000000001E-5</c:v>
                </c:pt>
                <c:pt idx="87">
                  <c:v>1.0000000000000001E-5</c:v>
                </c:pt>
                <c:pt idx="88">
                  <c:v>1.0000000000000001E-5</c:v>
                </c:pt>
                <c:pt idx="89">
                  <c:v>5.6692386180065869E-3</c:v>
                </c:pt>
                <c:pt idx="90">
                  <c:v>1.0000000000000001E-5</c:v>
                </c:pt>
                <c:pt idx="91">
                  <c:v>1.0000000000000001E-5</c:v>
                </c:pt>
                <c:pt idx="92">
                  <c:v>2.2510905481141386E-3</c:v>
                </c:pt>
                <c:pt idx="93">
                  <c:v>8.6630188440256657E-4</c:v>
                </c:pt>
                <c:pt idx="94">
                  <c:v>1.0000000000000001E-5</c:v>
                </c:pt>
                <c:pt idx="95">
                  <c:v>2.2861512576683855E-3</c:v>
                </c:pt>
                <c:pt idx="96">
                  <c:v>1.0065318563041213E-3</c:v>
                </c:pt>
                <c:pt idx="97">
                  <c:v>2.0020170617866947E-4</c:v>
                </c:pt>
                <c:pt idx="98">
                  <c:v>4.2318598089861759E-3</c:v>
                </c:pt>
                <c:pt idx="99">
                  <c:v>4.5123271049695322E-3</c:v>
                </c:pt>
                <c:pt idx="100">
                  <c:v>2.0757961905682131E-3</c:v>
                </c:pt>
                <c:pt idx="101">
                  <c:v>4.2318598089861759E-3</c:v>
                </c:pt>
                <c:pt idx="102">
                  <c:v>1.0000000000000001E-5</c:v>
                </c:pt>
                <c:pt idx="103">
                  <c:v>2.2686163077786071E-3</c:v>
                </c:pt>
                <c:pt idx="104">
                  <c:v>1.5324057387165874E-3</c:v>
                </c:pt>
                <c:pt idx="105">
                  <c:v>2.8996631286285048E-3</c:v>
                </c:pt>
                <c:pt idx="106">
                  <c:v>1.8654503136933506E-3</c:v>
                </c:pt>
                <c:pt idx="107">
                  <c:v>1.0000000000000001E-5</c:v>
                </c:pt>
                <c:pt idx="108">
                  <c:v>3.2853033630492927E-3</c:v>
                </c:pt>
                <c:pt idx="109">
                  <c:v>3.3203548823782306E-3</c:v>
                </c:pt>
                <c:pt idx="110">
                  <c:v>5.1258389759296519E-3</c:v>
                </c:pt>
                <c:pt idx="111">
                  <c:v>2.478971374878779E-3</c:v>
                </c:pt>
                <c:pt idx="112">
                  <c:v>6.0336770026392633E-4</c:v>
                </c:pt>
                <c:pt idx="113">
                  <c:v>5.2485468642568612E-3</c:v>
                </c:pt>
                <c:pt idx="114">
                  <c:v>1.0000000000000001E-5</c:v>
                </c:pt>
                <c:pt idx="115">
                  <c:v>1.9706232521307819E-3</c:v>
                </c:pt>
                <c:pt idx="116">
                  <c:v>1.5324057387165874E-3</c:v>
                </c:pt>
                <c:pt idx="117">
                  <c:v>1.0941790350770838E-3</c:v>
                </c:pt>
                <c:pt idx="118">
                  <c:v>1.4761431793742285E-4</c:v>
                </c:pt>
                <c:pt idx="119">
                  <c:v>1.6200437272642408E-3</c:v>
                </c:pt>
                <c:pt idx="120">
                  <c:v>2.0407446712392757E-3</c:v>
                </c:pt>
                <c:pt idx="121">
                  <c:v>3.530700759253093E-3</c:v>
                </c:pt>
                <c:pt idx="122">
                  <c:v>1.4272328002791559E-3</c:v>
                </c:pt>
                <c:pt idx="123">
                  <c:v>7.2607007445595019E-4</c:v>
                </c:pt>
                <c:pt idx="124">
                  <c:v>1.0000000000000001E-5</c:v>
                </c:pt>
              </c:numCache>
            </c:numRef>
          </c:yVal>
          <c:smooth val="1"/>
        </c:ser>
        <c:dLbls>
          <c:showLegendKey val="0"/>
          <c:showVal val="0"/>
          <c:showCatName val="0"/>
          <c:showSerName val="0"/>
          <c:showPercent val="0"/>
          <c:showBubbleSize val="0"/>
        </c:dLbls>
        <c:axId val="131496192"/>
        <c:axId val="131498368"/>
      </c:scatterChart>
      <c:scatterChart>
        <c:scatterStyle val="smoothMarker"/>
        <c:varyColors val="0"/>
        <c:ser>
          <c:idx val="1"/>
          <c:order val="1"/>
          <c:tx>
            <c:v>Photoconductance (Siemens)</c:v>
          </c:tx>
          <c:marker>
            <c:symbol val="none"/>
          </c:marker>
          <c:xVal>
            <c:numRef>
              <c:f>Calc!$A$9:$A$133</c:f>
              <c:numCache>
                <c:formatCode>0.00E+00</c:formatCode>
                <c:ptCount val="125"/>
                <c:pt idx="0">
                  <c:v>1.2789999999999999E-4</c:v>
                </c:pt>
                <c:pt idx="1">
                  <c:v>3.8390000000000001E-4</c:v>
                </c:pt>
                <c:pt idx="2">
                  <c:v>6.399E-4</c:v>
                </c:pt>
                <c:pt idx="3">
                  <c:v>8.9590000000000004E-4</c:v>
                </c:pt>
                <c:pt idx="4">
                  <c:v>1.1519E-3</c:v>
                </c:pt>
                <c:pt idx="5">
                  <c:v>1.4078999999999999E-3</c:v>
                </c:pt>
                <c:pt idx="6">
                  <c:v>1.6639000000000001E-3</c:v>
                </c:pt>
                <c:pt idx="7">
                  <c:v>1.9199E-3</c:v>
                </c:pt>
                <c:pt idx="8">
                  <c:v>2.1759000000000001E-3</c:v>
                </c:pt>
                <c:pt idx="9">
                  <c:v>2.4318999999999999E-3</c:v>
                </c:pt>
                <c:pt idx="10">
                  <c:v>2.6879E-3</c:v>
                </c:pt>
                <c:pt idx="11">
                  <c:v>2.9439000000000002E-3</c:v>
                </c:pt>
                <c:pt idx="12">
                  <c:v>3.1998999999999999E-3</c:v>
                </c:pt>
                <c:pt idx="13">
                  <c:v>3.4559E-3</c:v>
                </c:pt>
                <c:pt idx="14">
                  <c:v>3.7119000000000002E-3</c:v>
                </c:pt>
                <c:pt idx="15">
                  <c:v>3.9678999999999999E-3</c:v>
                </c:pt>
                <c:pt idx="16">
                  <c:v>4.2239000000000001E-3</c:v>
                </c:pt>
                <c:pt idx="17">
                  <c:v>4.4799000000000002E-3</c:v>
                </c:pt>
                <c:pt idx="18">
                  <c:v>4.7359000000000004E-3</c:v>
                </c:pt>
                <c:pt idx="19">
                  <c:v>4.9918999999999996E-3</c:v>
                </c:pt>
                <c:pt idx="20">
                  <c:v>5.2478999999999998E-3</c:v>
                </c:pt>
                <c:pt idx="21">
                  <c:v>5.5038999999999999E-3</c:v>
                </c:pt>
                <c:pt idx="22">
                  <c:v>5.7599000000000001E-3</c:v>
                </c:pt>
                <c:pt idx="23">
                  <c:v>6.0159000000000002E-3</c:v>
                </c:pt>
                <c:pt idx="24">
                  <c:v>6.2719000000000004E-3</c:v>
                </c:pt>
                <c:pt idx="25">
                  <c:v>6.5278999999999997E-3</c:v>
                </c:pt>
                <c:pt idx="26">
                  <c:v>6.7838999999999998E-3</c:v>
                </c:pt>
                <c:pt idx="27">
                  <c:v>7.0399E-3</c:v>
                </c:pt>
                <c:pt idx="28">
                  <c:v>7.2959000000000001E-3</c:v>
                </c:pt>
                <c:pt idx="29">
                  <c:v>7.5519000000000003E-3</c:v>
                </c:pt>
                <c:pt idx="30">
                  <c:v>7.8079000000000004E-3</c:v>
                </c:pt>
                <c:pt idx="31">
                  <c:v>8.0639000000000006E-3</c:v>
                </c:pt>
                <c:pt idx="32">
                  <c:v>8.3198999999999999E-3</c:v>
                </c:pt>
                <c:pt idx="33">
                  <c:v>8.5758999999999991E-3</c:v>
                </c:pt>
                <c:pt idx="34">
                  <c:v>8.8319000000000002E-3</c:v>
                </c:pt>
                <c:pt idx="35">
                  <c:v>9.0878999999999995E-3</c:v>
                </c:pt>
                <c:pt idx="36">
                  <c:v>9.3439000000000005E-3</c:v>
                </c:pt>
                <c:pt idx="37">
                  <c:v>9.5998999999999998E-3</c:v>
                </c:pt>
                <c:pt idx="38">
                  <c:v>9.8559000000000008E-3</c:v>
                </c:pt>
                <c:pt idx="39">
                  <c:v>1.01119E-2</c:v>
                </c:pt>
                <c:pt idx="40">
                  <c:v>1.0367899999999999E-2</c:v>
                </c:pt>
                <c:pt idx="41">
                  <c:v>1.06239E-2</c:v>
                </c:pt>
                <c:pt idx="42">
                  <c:v>1.08799E-2</c:v>
                </c:pt>
                <c:pt idx="43">
                  <c:v>1.1135900000000001E-2</c:v>
                </c:pt>
                <c:pt idx="44">
                  <c:v>1.13919E-2</c:v>
                </c:pt>
                <c:pt idx="45">
                  <c:v>1.1647899999999999E-2</c:v>
                </c:pt>
                <c:pt idx="46">
                  <c:v>1.19039E-2</c:v>
                </c:pt>
                <c:pt idx="47">
                  <c:v>1.21599E-2</c:v>
                </c:pt>
                <c:pt idx="48">
                  <c:v>1.2415900000000001E-2</c:v>
                </c:pt>
                <c:pt idx="49">
                  <c:v>1.26719E-2</c:v>
                </c:pt>
                <c:pt idx="50">
                  <c:v>1.2927900000000001E-2</c:v>
                </c:pt>
                <c:pt idx="51">
                  <c:v>1.31839E-2</c:v>
                </c:pt>
                <c:pt idx="52">
                  <c:v>1.3439899999999999E-2</c:v>
                </c:pt>
                <c:pt idx="53">
                  <c:v>1.36959E-2</c:v>
                </c:pt>
                <c:pt idx="54">
                  <c:v>1.39519E-2</c:v>
                </c:pt>
                <c:pt idx="55">
                  <c:v>1.4207900000000001E-2</c:v>
                </c:pt>
                <c:pt idx="56">
                  <c:v>1.44639E-2</c:v>
                </c:pt>
                <c:pt idx="57">
                  <c:v>1.4719899999999999E-2</c:v>
                </c:pt>
                <c:pt idx="58">
                  <c:v>1.49759E-2</c:v>
                </c:pt>
                <c:pt idx="59">
                  <c:v>1.52319E-2</c:v>
                </c:pt>
                <c:pt idx="60">
                  <c:v>1.5487900000000001E-2</c:v>
                </c:pt>
                <c:pt idx="61">
                  <c:v>1.5743900000000002E-2</c:v>
                </c:pt>
                <c:pt idx="62">
                  <c:v>1.5999900000000001E-2</c:v>
                </c:pt>
                <c:pt idx="63">
                  <c:v>1.62559E-2</c:v>
                </c:pt>
                <c:pt idx="64">
                  <c:v>1.6511899999999999E-2</c:v>
                </c:pt>
                <c:pt idx="65">
                  <c:v>1.6767899999999999E-2</c:v>
                </c:pt>
                <c:pt idx="66">
                  <c:v>1.7023900000000002E-2</c:v>
                </c:pt>
                <c:pt idx="67">
                  <c:v>1.7279900000000001E-2</c:v>
                </c:pt>
                <c:pt idx="68">
                  <c:v>1.75359E-2</c:v>
                </c:pt>
                <c:pt idx="69">
                  <c:v>1.7791899999999999E-2</c:v>
                </c:pt>
                <c:pt idx="70">
                  <c:v>1.8047899999999999E-2</c:v>
                </c:pt>
                <c:pt idx="71">
                  <c:v>1.8303900000000001E-2</c:v>
                </c:pt>
                <c:pt idx="72">
                  <c:v>1.8559900000000001E-2</c:v>
                </c:pt>
                <c:pt idx="73">
                  <c:v>1.88159E-2</c:v>
                </c:pt>
                <c:pt idx="74">
                  <c:v>1.9071899999999999E-2</c:v>
                </c:pt>
                <c:pt idx="75">
                  <c:v>1.9327899999999999E-2</c:v>
                </c:pt>
                <c:pt idx="76">
                  <c:v>1.9583900000000001E-2</c:v>
                </c:pt>
                <c:pt idx="77">
                  <c:v>1.9839900000000001E-2</c:v>
                </c:pt>
                <c:pt idx="78">
                  <c:v>2.00959E-2</c:v>
                </c:pt>
                <c:pt idx="79">
                  <c:v>2.0351899999999999E-2</c:v>
                </c:pt>
                <c:pt idx="80">
                  <c:v>2.0607899999999998E-2</c:v>
                </c:pt>
                <c:pt idx="81">
                  <c:v>2.0863900000000001E-2</c:v>
                </c:pt>
                <c:pt idx="82">
                  <c:v>2.11199E-2</c:v>
                </c:pt>
                <c:pt idx="83">
                  <c:v>2.13759E-2</c:v>
                </c:pt>
                <c:pt idx="84">
                  <c:v>2.1631899999999999E-2</c:v>
                </c:pt>
                <c:pt idx="85">
                  <c:v>2.1887899999999998E-2</c:v>
                </c:pt>
                <c:pt idx="86">
                  <c:v>2.2143900000000001E-2</c:v>
                </c:pt>
                <c:pt idx="87">
                  <c:v>2.23999E-2</c:v>
                </c:pt>
                <c:pt idx="88">
                  <c:v>2.26559E-2</c:v>
                </c:pt>
                <c:pt idx="89">
                  <c:v>2.2911899999999999E-2</c:v>
                </c:pt>
                <c:pt idx="90">
                  <c:v>2.3167900000000002E-2</c:v>
                </c:pt>
                <c:pt idx="91">
                  <c:v>2.3423900000000001E-2</c:v>
                </c:pt>
                <c:pt idx="92">
                  <c:v>2.36799E-2</c:v>
                </c:pt>
                <c:pt idx="93">
                  <c:v>2.39359E-2</c:v>
                </c:pt>
                <c:pt idx="94">
                  <c:v>2.4191899999999999E-2</c:v>
                </c:pt>
                <c:pt idx="95">
                  <c:v>2.4447900000000002E-2</c:v>
                </c:pt>
                <c:pt idx="96">
                  <c:v>2.4703900000000001E-2</c:v>
                </c:pt>
                <c:pt idx="97">
                  <c:v>2.49599E-2</c:v>
                </c:pt>
                <c:pt idx="98">
                  <c:v>2.5215899999999999E-2</c:v>
                </c:pt>
                <c:pt idx="99">
                  <c:v>2.5471899999999999E-2</c:v>
                </c:pt>
                <c:pt idx="100">
                  <c:v>2.5727900000000001E-2</c:v>
                </c:pt>
                <c:pt idx="101">
                  <c:v>2.5983900000000001E-2</c:v>
                </c:pt>
                <c:pt idx="102">
                  <c:v>2.62399E-2</c:v>
                </c:pt>
                <c:pt idx="103">
                  <c:v>2.6495899999999999E-2</c:v>
                </c:pt>
                <c:pt idx="104">
                  <c:v>2.6751899999999999E-2</c:v>
                </c:pt>
                <c:pt idx="105">
                  <c:v>2.7007900000000001E-2</c:v>
                </c:pt>
                <c:pt idx="106">
                  <c:v>2.7263900000000001E-2</c:v>
                </c:pt>
                <c:pt idx="107">
                  <c:v>2.75199E-2</c:v>
                </c:pt>
                <c:pt idx="108">
                  <c:v>2.7775899999999999E-2</c:v>
                </c:pt>
                <c:pt idx="109">
                  <c:v>2.8031899999999998E-2</c:v>
                </c:pt>
                <c:pt idx="110">
                  <c:v>2.8287900000000001E-2</c:v>
                </c:pt>
                <c:pt idx="111">
                  <c:v>2.8543900000000001E-2</c:v>
                </c:pt>
                <c:pt idx="112">
                  <c:v>2.87999E-2</c:v>
                </c:pt>
                <c:pt idx="113">
                  <c:v>2.9055899999999999E-2</c:v>
                </c:pt>
                <c:pt idx="114">
                  <c:v>2.9311899999999998E-2</c:v>
                </c:pt>
                <c:pt idx="115">
                  <c:v>2.9567900000000001E-2</c:v>
                </c:pt>
                <c:pt idx="116">
                  <c:v>2.98239E-2</c:v>
                </c:pt>
                <c:pt idx="117">
                  <c:v>3.00799E-2</c:v>
                </c:pt>
                <c:pt idx="118">
                  <c:v>3.0335899999999999E-2</c:v>
                </c:pt>
                <c:pt idx="119">
                  <c:v>3.0591900000000002E-2</c:v>
                </c:pt>
                <c:pt idx="120">
                  <c:v>3.0847900000000001E-2</c:v>
                </c:pt>
                <c:pt idx="121">
                  <c:v>3.11039E-2</c:v>
                </c:pt>
                <c:pt idx="122">
                  <c:v>3.1359900000000003E-2</c:v>
                </c:pt>
                <c:pt idx="123">
                  <c:v>3.1615900000000002E-2</c:v>
                </c:pt>
                <c:pt idx="124">
                  <c:v>3.1871900000000002E-2</c:v>
                </c:pt>
              </c:numCache>
            </c:numRef>
          </c:xVal>
          <c:yVal>
            <c:numRef>
              <c:f>Calc!$H$9:$H$133</c:f>
              <c:numCache>
                <c:formatCode>0.000E+00</c:formatCode>
                <c:ptCount val="125"/>
                <c:pt idx="0">
                  <c:v>6.5663989307646817E-3</c:v>
                </c:pt>
                <c:pt idx="1">
                  <c:v>9.5279411406029718E-3</c:v>
                </c:pt>
                <c:pt idx="2">
                  <c:v>8.2712266979168697E-3</c:v>
                </c:pt>
                <c:pt idx="3">
                  <c:v>7.0509923747263184E-3</c:v>
                </c:pt>
                <c:pt idx="4">
                  <c:v>5.9888856046642971E-3</c:v>
                </c:pt>
                <c:pt idx="5">
                  <c:v>5.0633329556809617E-3</c:v>
                </c:pt>
                <c:pt idx="6">
                  <c:v>4.2773942139818708E-3</c:v>
                </c:pt>
                <c:pt idx="7">
                  <c:v>3.6339903544801849E-3</c:v>
                </c:pt>
                <c:pt idx="8">
                  <c:v>3.0876728156178854E-3</c:v>
                </c:pt>
                <c:pt idx="9">
                  <c:v>2.6179876599104687E-3</c:v>
                </c:pt>
                <c:pt idx="10">
                  <c:v>2.2279966127750073E-3</c:v>
                </c:pt>
                <c:pt idx="11">
                  <c:v>1.912574124933758E-3</c:v>
                </c:pt>
                <c:pt idx="12">
                  <c:v>1.6338993634735163E-3</c:v>
                </c:pt>
                <c:pt idx="13">
                  <c:v>1.4053268958266266E-3</c:v>
                </c:pt>
                <c:pt idx="14">
                  <c:v>1.2025090139614128E-3</c:v>
                </c:pt>
                <c:pt idx="15">
                  <c:v>1.0386399419013773E-3</c:v>
                </c:pt>
                <c:pt idx="16">
                  <c:v>8.9172851774473733E-4</c:v>
                </c:pt>
                <c:pt idx="17">
                  <c:v>7.7365129303221675E-4</c:v>
                </c:pt>
                <c:pt idx="18">
                  <c:v>6.6795048159069143E-4</c:v>
                </c:pt>
                <c:pt idx="19">
                  <c:v>5.7696556497626589E-4</c:v>
                </c:pt>
                <c:pt idx="20">
                  <c:v>5.0695655563502001E-4</c:v>
                </c:pt>
                <c:pt idx="21">
                  <c:v>4.4017010574039922E-4</c:v>
                </c:pt>
                <c:pt idx="22">
                  <c:v>3.7860338802293142E-4</c:v>
                </c:pt>
                <c:pt idx="23">
                  <c:v>3.3303435086410454E-4</c:v>
                </c:pt>
                <c:pt idx="24">
                  <c:v>2.8802667133854404E-4</c:v>
                </c:pt>
                <c:pt idx="25">
                  <c:v>2.6313348729809644E-4</c:v>
                </c:pt>
                <c:pt idx="26">
                  <c:v>2.2451726074922129E-4</c:v>
                </c:pt>
                <c:pt idx="27">
                  <c:v>1.9603813313107121E-4</c:v>
                </c:pt>
                <c:pt idx="28">
                  <c:v>1.7844368177831471E-4</c:v>
                </c:pt>
                <c:pt idx="29">
                  <c:v>1.5883946270531246E-4</c:v>
                </c:pt>
                <c:pt idx="30">
                  <c:v>1.4139383865967997E-4</c:v>
                </c:pt>
                <c:pt idx="31">
                  <c:v>1.2572286678542294E-4</c:v>
                </c:pt>
                <c:pt idx="32">
                  <c:v>1.0862996654404516E-4</c:v>
                </c:pt>
                <c:pt idx="33">
                  <c:v>1.018277341729712E-4</c:v>
                </c:pt>
                <c:pt idx="34">
                  <c:v>9.7003934515837997E-5</c:v>
                </c:pt>
                <c:pt idx="35">
                  <c:v>8.0418362493686613E-5</c:v>
                </c:pt>
                <c:pt idx="36">
                  <c:v>7.073424222785174E-5</c:v>
                </c:pt>
                <c:pt idx="37">
                  <c:v>6.8483191143553501E-5</c:v>
                </c:pt>
                <c:pt idx="38">
                  <c:v>4.6548950743900697E-5</c:v>
                </c:pt>
                <c:pt idx="39">
                  <c:v>4.5460561198182314E-5</c:v>
                </c:pt>
                <c:pt idx="40">
                  <c:v>4.3809335660387194E-5</c:v>
                </c:pt>
                <c:pt idx="41">
                  <c:v>4.1193574160769408E-5</c:v>
                </c:pt>
                <c:pt idx="42">
                  <c:v>3.6091746827428273E-5</c:v>
                </c:pt>
                <c:pt idx="43">
                  <c:v>2.9054611967539723E-5</c:v>
                </c:pt>
                <c:pt idx="44">
                  <c:v>2.562876220228022E-5</c:v>
                </c:pt>
                <c:pt idx="45">
                  <c:v>2.3025377111088319E-5</c:v>
                </c:pt>
                <c:pt idx="46">
                  <c:v>1.7163096409950063E-5</c:v>
                </c:pt>
                <c:pt idx="47">
                  <c:v>2.2073071829817326E-5</c:v>
                </c:pt>
                <c:pt idx="48">
                  <c:v>1.5512024100022836E-5</c:v>
                </c:pt>
                <c:pt idx="49">
                  <c:v>1.8832714933934847E-5</c:v>
                </c:pt>
                <c:pt idx="50">
                  <c:v>-3.1568278526517002E-6</c:v>
                </c:pt>
                <c:pt idx="51">
                  <c:v>-8.7840240333286745E-6</c:v>
                </c:pt>
                <c:pt idx="52">
                  <c:v>-1.4596737083337474E-5</c:v>
                </c:pt>
                <c:pt idx="53">
                  <c:v>-9.7548910447317616E-6</c:v>
                </c:pt>
                <c:pt idx="54">
                  <c:v>-1.7905019789578314E-5</c:v>
                </c:pt>
                <c:pt idx="55">
                  <c:v>-1.801015930517208E-5</c:v>
                </c:pt>
                <c:pt idx="56">
                  <c:v>-1.0255756565921703E-5</c:v>
                </c:pt>
                <c:pt idx="57">
                  <c:v>-1.6754871582744246E-5</c:v>
                </c:pt>
                <c:pt idx="58">
                  <c:v>-1.1399748633782181E-5</c:v>
                </c:pt>
                <c:pt idx="59">
                  <c:v>-1.1319378073901265E-5</c:v>
                </c:pt>
                <c:pt idx="60">
                  <c:v>-1.211089340167476E-5</c:v>
                </c:pt>
                <c:pt idx="61">
                  <c:v>-1.4374137892132766E-5</c:v>
                </c:pt>
                <c:pt idx="62">
                  <c:v>-9.8167170952609406E-6</c:v>
                </c:pt>
                <c:pt idx="63">
                  <c:v>-1.828842399068803E-5</c:v>
                </c:pt>
                <c:pt idx="64">
                  <c:v>-1.7861738488757217E-5</c:v>
                </c:pt>
                <c:pt idx="65">
                  <c:v>-7.1267795972371206E-6</c:v>
                </c:pt>
                <c:pt idx="66">
                  <c:v>-1.402785442256721E-5</c:v>
                </c:pt>
                <c:pt idx="67">
                  <c:v>-1.0509285443605076E-5</c:v>
                </c:pt>
                <c:pt idx="68">
                  <c:v>-8.1594735215559377E-6</c:v>
                </c:pt>
                <c:pt idx="69">
                  <c:v>-1.4627666243674509E-5</c:v>
                </c:pt>
                <c:pt idx="70">
                  <c:v>-1.6408588528596391E-5</c:v>
                </c:pt>
                <c:pt idx="71">
                  <c:v>-2.2889106524440206E-5</c:v>
                </c:pt>
                <c:pt idx="72">
                  <c:v>-1.8504862859265725E-5</c:v>
                </c:pt>
                <c:pt idx="73">
                  <c:v>-1.7824649493153322E-5</c:v>
                </c:pt>
                <c:pt idx="74">
                  <c:v>-2.2202702368606664E-5</c:v>
                </c:pt>
                <c:pt idx="75">
                  <c:v>-1.5988094934367425E-5</c:v>
                </c:pt>
                <c:pt idx="76">
                  <c:v>-1.2747794893366859E-5</c:v>
                </c:pt>
                <c:pt idx="77">
                  <c:v>-1.7193909518466166E-5</c:v>
                </c:pt>
                <c:pt idx="78">
                  <c:v>-1.5518127585913144E-5</c:v>
                </c:pt>
                <c:pt idx="79">
                  <c:v>-4.9191931186728932E-6</c:v>
                </c:pt>
                <c:pt idx="80">
                  <c:v>-1.3069374143581669E-5</c:v>
                </c:pt>
                <c:pt idx="81">
                  <c:v>-1.9185043571803839E-5</c:v>
                </c:pt>
                <c:pt idx="82">
                  <c:v>-1.078758360145704E-5</c:v>
                </c:pt>
                <c:pt idx="83">
                  <c:v>-1.7008399630133453E-5</c:v>
                </c:pt>
                <c:pt idx="84">
                  <c:v>-1.1393588728141057E-5</c:v>
                </c:pt>
                <c:pt idx="85">
                  <c:v>-1.0818480400583141E-5</c:v>
                </c:pt>
                <c:pt idx="86">
                  <c:v>-1.162238057917514E-5</c:v>
                </c:pt>
                <c:pt idx="87">
                  <c:v>-1.1764609537182058E-5</c:v>
                </c:pt>
                <c:pt idx="88">
                  <c:v>-1.4058751171254491E-5</c:v>
                </c:pt>
                <c:pt idx="89">
                  <c:v>-1.1375011749421848E-5</c:v>
                </c:pt>
                <c:pt idx="90">
                  <c:v>-6.1250144283847563E-6</c:v>
                </c:pt>
                <c:pt idx="91">
                  <c:v>-1.3496028255392811E-5</c:v>
                </c:pt>
                <c:pt idx="92">
                  <c:v>-1.6173604918068296E-5</c:v>
                </c:pt>
                <c:pt idx="93">
                  <c:v>-6.3043654126362925E-6</c:v>
                </c:pt>
                <c:pt idx="94">
                  <c:v>-1.9030462961325267E-5</c:v>
                </c:pt>
                <c:pt idx="95">
                  <c:v>-1.6192149431396019E-5</c:v>
                </c:pt>
                <c:pt idx="96">
                  <c:v>-1.1634732809580328E-5</c:v>
                </c:pt>
                <c:pt idx="97">
                  <c:v>-1.5833481654382864E-5</c:v>
                </c:pt>
                <c:pt idx="98">
                  <c:v>-1.2772531760622818E-5</c:v>
                </c:pt>
                <c:pt idx="99">
                  <c:v>-1.3662993935271983E-5</c:v>
                </c:pt>
                <c:pt idx="100">
                  <c:v>-1.5307880705597854E-5</c:v>
                </c:pt>
                <c:pt idx="101">
                  <c:v>-1.6909452370476863E-5</c:v>
                </c:pt>
                <c:pt idx="102">
                  <c:v>-1.0595880785578549E-5</c:v>
                </c:pt>
                <c:pt idx="103">
                  <c:v>-1.1770769441678264E-5</c:v>
                </c:pt>
                <c:pt idx="104">
                  <c:v>-1.3409465460488545E-5</c:v>
                </c:pt>
                <c:pt idx="105">
                  <c:v>-1.2562284589422157E-5</c:v>
                </c:pt>
                <c:pt idx="106">
                  <c:v>-1.0843217291882368E-5</c:v>
                </c:pt>
                <c:pt idx="107">
                  <c:v>-1.7144435893873267E-5</c:v>
                </c:pt>
                <c:pt idx="108">
                  <c:v>-9.5075219821924573E-6</c:v>
                </c:pt>
                <c:pt idx="109">
                  <c:v>-1.3953643866825016E-5</c:v>
                </c:pt>
                <c:pt idx="110">
                  <c:v>-8.2584212174816041E-6</c:v>
                </c:pt>
                <c:pt idx="111">
                  <c:v>-1.3353799421481072E-5</c:v>
                </c:pt>
                <c:pt idx="112">
                  <c:v>-6.4218578056732256E-6</c:v>
                </c:pt>
                <c:pt idx="113">
                  <c:v>-1.2890023770723014E-5</c:v>
                </c:pt>
                <c:pt idx="114">
                  <c:v>-1.7843193991035067E-5</c:v>
                </c:pt>
                <c:pt idx="115">
                  <c:v>-1.3700115429178539E-5</c:v>
                </c:pt>
                <c:pt idx="116">
                  <c:v>-8.0172443051654274E-6</c:v>
                </c:pt>
                <c:pt idx="117">
                  <c:v>-1.3675378573489716E-5</c:v>
                </c:pt>
                <c:pt idx="118">
                  <c:v>-1.9123217813145355E-5</c:v>
                </c:pt>
                <c:pt idx="119">
                  <c:v>-9.6188542744526928E-6</c:v>
                </c:pt>
                <c:pt idx="120">
                  <c:v>-9.3776775274626023E-6</c:v>
                </c:pt>
                <c:pt idx="121">
                  <c:v>-6.5517024538039315E-6</c:v>
                </c:pt>
                <c:pt idx="122">
                  <c:v>-1.1115290655276666E-5</c:v>
                </c:pt>
                <c:pt idx="123">
                  <c:v>-3.3794380282850534E-6</c:v>
                </c:pt>
                <c:pt idx="124">
                  <c:v>-1.0478388639656444E-5</c:v>
                </c:pt>
              </c:numCache>
            </c:numRef>
          </c:yVal>
          <c:smooth val="1"/>
        </c:ser>
        <c:dLbls>
          <c:showLegendKey val="0"/>
          <c:showVal val="0"/>
          <c:showCatName val="0"/>
          <c:showSerName val="0"/>
          <c:showPercent val="0"/>
          <c:showBubbleSize val="0"/>
        </c:dLbls>
        <c:axId val="131501440"/>
        <c:axId val="131499904"/>
      </c:scatterChart>
      <c:valAx>
        <c:axId val="131496192"/>
        <c:scaling>
          <c:orientation val="minMax"/>
          <c:min val="0"/>
        </c:scaling>
        <c:delete val="0"/>
        <c:axPos val="b"/>
        <c:title>
          <c:tx>
            <c:rich>
              <a:bodyPr/>
              <a:lstStyle/>
              <a:p>
                <a:pPr>
                  <a:defRPr sz="700"/>
                </a:pPr>
                <a:r>
                  <a:rPr lang="en-US" sz="700"/>
                  <a:t>Time (s)</a:t>
                </a:r>
              </a:p>
            </c:rich>
          </c:tx>
          <c:layout>
            <c:manualLayout>
              <c:xMode val="edge"/>
              <c:yMode val="edge"/>
              <c:x val="0.43219252093397381"/>
              <c:y val="0.8892561334286021"/>
            </c:manualLayout>
          </c:layout>
          <c:overlay val="0"/>
        </c:title>
        <c:numFmt formatCode="0.0E+00" sourceLinked="0"/>
        <c:majorTickMark val="cross"/>
        <c:minorTickMark val="none"/>
        <c:tickLblPos val="nextTo"/>
        <c:txPr>
          <a:bodyPr/>
          <a:lstStyle/>
          <a:p>
            <a:pPr>
              <a:defRPr sz="800"/>
            </a:pPr>
            <a:endParaRPr lang="en-US"/>
          </a:p>
        </c:txPr>
        <c:crossAx val="131498368"/>
        <c:crosses val="autoZero"/>
        <c:crossBetween val="midCat"/>
      </c:valAx>
      <c:valAx>
        <c:axId val="131498368"/>
        <c:scaling>
          <c:orientation val="minMax"/>
          <c:min val="0"/>
        </c:scaling>
        <c:delete val="0"/>
        <c:axPos val="l"/>
        <c:numFmt formatCode="0" sourceLinked="0"/>
        <c:majorTickMark val="in"/>
        <c:minorTickMark val="none"/>
        <c:tickLblPos val="nextTo"/>
        <c:spPr>
          <a:ln>
            <a:solidFill>
              <a:schemeClr val="accent1"/>
            </a:solidFill>
          </a:ln>
        </c:spPr>
        <c:txPr>
          <a:bodyPr/>
          <a:lstStyle/>
          <a:p>
            <a:pPr>
              <a:defRPr sz="700">
                <a:solidFill>
                  <a:schemeClr val="accent1">
                    <a:lumMod val="75000"/>
                  </a:schemeClr>
                </a:solidFill>
              </a:defRPr>
            </a:pPr>
            <a:endParaRPr lang="en-US"/>
          </a:p>
        </c:txPr>
        <c:crossAx val="131496192"/>
        <c:crosses val="autoZero"/>
        <c:crossBetween val="midCat"/>
      </c:valAx>
      <c:valAx>
        <c:axId val="131499904"/>
        <c:scaling>
          <c:orientation val="minMax"/>
          <c:min val="0"/>
        </c:scaling>
        <c:delete val="0"/>
        <c:axPos val="r"/>
        <c:numFmt formatCode="General" sourceLinked="0"/>
        <c:majorTickMark val="out"/>
        <c:minorTickMark val="none"/>
        <c:tickLblPos val="nextTo"/>
        <c:spPr>
          <a:ln>
            <a:solidFill>
              <a:schemeClr val="accent2"/>
            </a:solidFill>
          </a:ln>
        </c:spPr>
        <c:txPr>
          <a:bodyPr/>
          <a:lstStyle/>
          <a:p>
            <a:pPr>
              <a:defRPr sz="700">
                <a:solidFill>
                  <a:schemeClr val="accent2"/>
                </a:solidFill>
              </a:defRPr>
            </a:pPr>
            <a:endParaRPr lang="en-US"/>
          </a:p>
        </c:txPr>
        <c:crossAx val="131501440"/>
        <c:crosses val="max"/>
        <c:crossBetween val="midCat"/>
      </c:valAx>
      <c:valAx>
        <c:axId val="131501440"/>
        <c:scaling>
          <c:orientation val="minMax"/>
        </c:scaling>
        <c:delete val="1"/>
        <c:axPos val="b"/>
        <c:numFmt formatCode="0.00E+00" sourceLinked="1"/>
        <c:majorTickMark val="out"/>
        <c:minorTickMark val="none"/>
        <c:tickLblPos val="none"/>
        <c:crossAx val="131499904"/>
        <c:crosses val="autoZero"/>
        <c:crossBetween val="midCat"/>
      </c:valAx>
    </c:plotArea>
    <c:legend>
      <c:legendPos val="r"/>
      <c:layout>
        <c:manualLayout>
          <c:xMode val="edge"/>
          <c:yMode val="edge"/>
          <c:x val="0.19890911565945296"/>
          <c:y val="7.7206028856852973E-2"/>
          <c:w val="0.56643909140126703"/>
          <c:h val="0.34302074297047203"/>
        </c:manualLayout>
      </c:layout>
      <c:overlay val="0"/>
      <c:txPr>
        <a:bodyPr/>
        <a:lstStyle/>
        <a:p>
          <a:pPr>
            <a:defRPr sz="700"/>
          </a:pPr>
          <a:endParaRPr lang="en-US"/>
        </a:p>
      </c:tx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5.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image" Target="../media/image5.emf"/><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absolute">
    <xdr:from>
      <xdr:col>6</xdr:col>
      <xdr:colOff>466725</xdr:colOff>
      <xdr:row>0</xdr:row>
      <xdr:rowOff>19050</xdr:rowOff>
    </xdr:from>
    <xdr:to>
      <xdr:col>9</xdr:col>
      <xdr:colOff>21249</xdr:colOff>
      <xdr:row>3</xdr:row>
      <xdr:rowOff>22794</xdr:rowOff>
    </xdr:to>
    <xdr:pic>
      <xdr:nvPicPr>
        <xdr:cNvPr id="2"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5048250" y="19050"/>
          <a:ext cx="1383324" cy="518094"/>
        </a:xfrm>
        <a:prstGeom prst="rect">
          <a:avLst/>
        </a:prstGeom>
        <a:noFill/>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180975</xdr:rowOff>
        </xdr:to>
        <xdr:sp macro="" textlink="">
          <xdr:nvSpPr>
            <xdr:cNvPr id="101377" name="CommandButton1" hidden="1">
              <a:extLst>
                <a:ext uri="{63B3BB69-23CF-44E3-9099-C40C66FF867C}">
                  <a14:compatExt spid="_x0000_s1013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0</xdr:rowOff>
        </xdr:from>
        <xdr:to>
          <xdr:col>3</xdr:col>
          <xdr:colOff>676275</xdr:colOff>
          <xdr:row>2</xdr:row>
          <xdr:rowOff>180975</xdr:rowOff>
        </xdr:to>
        <xdr:sp macro="" textlink="">
          <xdr:nvSpPr>
            <xdr:cNvPr id="101378" name="CommandButton2" hidden="1">
              <a:extLst>
                <a:ext uri="{63B3BB69-23CF-44E3-9099-C40C66FF867C}">
                  <a14:compatExt spid="_x0000_s1013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0</xdr:rowOff>
        </xdr:from>
        <xdr:to>
          <xdr:col>6</xdr:col>
          <xdr:colOff>447675</xdr:colOff>
          <xdr:row>2</xdr:row>
          <xdr:rowOff>180975</xdr:rowOff>
        </xdr:to>
        <xdr:sp macro="" textlink="">
          <xdr:nvSpPr>
            <xdr:cNvPr id="101379" name="CommandButton3" hidden="1">
              <a:extLst>
                <a:ext uri="{63B3BB69-23CF-44E3-9099-C40C66FF867C}">
                  <a14:compatExt spid="_x0000_s101379"/>
                </a:ext>
              </a:extLst>
            </xdr:cNvPr>
            <xdr:cNvSpPr/>
          </xdr:nvSpPr>
          <xdr:spPr>
            <a:xfrm>
              <a:off x="0" y="0"/>
              <a:ext cx="0" cy="0"/>
            </a:xfrm>
            <a:prstGeom prst="rect">
              <a:avLst/>
            </a:prstGeom>
          </xdr:spPr>
        </xdr:sp>
        <xdr:clientData fPrintsWithSheet="0"/>
      </xdr:twoCellAnchor>
    </mc:Choice>
    <mc:Fallback/>
  </mc:AlternateContent>
  <xdr:twoCellAnchor editAs="absolute">
    <xdr:from>
      <xdr:col>0</xdr:col>
      <xdr:colOff>0</xdr:colOff>
      <xdr:row>8</xdr:row>
      <xdr:rowOff>9525</xdr:rowOff>
    </xdr:from>
    <xdr:to>
      <xdr:col>8</xdr:col>
      <xdr:colOff>149673</xdr:colOff>
      <xdr:row>29</xdr:row>
      <xdr:rowOff>51722</xdr:rowOff>
    </xdr:to>
    <xdr:graphicFrame macro="">
      <xdr:nvGraphicFramePr>
        <xdr:cNvPr id="6"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8</xdr:col>
          <xdr:colOff>209550</xdr:colOff>
          <xdr:row>8</xdr:row>
          <xdr:rowOff>19050</xdr:rowOff>
        </xdr:from>
        <xdr:to>
          <xdr:col>9</xdr:col>
          <xdr:colOff>247650</xdr:colOff>
          <xdr:row>10</xdr:row>
          <xdr:rowOff>85725</xdr:rowOff>
        </xdr:to>
        <xdr:sp macro="" textlink="">
          <xdr:nvSpPr>
            <xdr:cNvPr id="101380" name="Button 4" hidden="1">
              <a:extLst>
                <a:ext uri="{63B3BB69-23CF-44E3-9099-C40C66FF867C}">
                  <a14:compatExt spid="_x0000_s1013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3</xdr:row>
          <xdr:rowOff>0</xdr:rowOff>
        </xdr:from>
        <xdr:to>
          <xdr:col>6</xdr:col>
          <xdr:colOff>447675</xdr:colOff>
          <xdr:row>5</xdr:row>
          <xdr:rowOff>9525</xdr:rowOff>
        </xdr:to>
        <xdr:sp macro="" textlink="">
          <xdr:nvSpPr>
            <xdr:cNvPr id="101399" name="CommandButton4" hidden="1">
              <a:extLst>
                <a:ext uri="{63B3BB69-23CF-44E3-9099-C40C66FF867C}">
                  <a14:compatExt spid="_x0000_s101399"/>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xdr:rowOff>
    </xdr:from>
    <xdr:to>
      <xdr:col>13</xdr:col>
      <xdr:colOff>444500</xdr:colOff>
      <xdr:row>6</xdr:row>
      <xdr:rowOff>0</xdr:rowOff>
    </xdr:to>
    <xdr:sp macro="" textlink="" fLocksText="0">
      <xdr:nvSpPr>
        <xdr:cNvPr id="51234" name="Text Box 34"/>
        <xdr:cNvSpPr txBox="1">
          <a:spLocks noChangeArrowheads="1"/>
        </xdr:cNvSpPr>
      </xdr:nvSpPr>
      <xdr:spPr bwMode="auto">
        <a:xfrm>
          <a:off x="10858500" y="772584"/>
          <a:ext cx="2021417" cy="64558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Space for User Comments</a:t>
          </a:r>
        </a:p>
      </xdr:txBody>
    </xdr:sp>
    <xdr:clientData/>
  </xdr:twoCellAnchor>
  <xdr:twoCellAnchor editAs="absolute">
    <xdr:from>
      <xdr:col>8</xdr:col>
      <xdr:colOff>354508</xdr:colOff>
      <xdr:row>0</xdr:row>
      <xdr:rowOff>42331</xdr:rowOff>
    </xdr:from>
    <xdr:to>
      <xdr:col>9</xdr:col>
      <xdr:colOff>684479</xdr:colOff>
      <xdr:row>2</xdr:row>
      <xdr:rowOff>168219</xdr:rowOff>
    </xdr:to>
    <xdr:pic>
      <xdr:nvPicPr>
        <xdr:cNvPr id="9"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8453159" y="42331"/>
          <a:ext cx="1377721" cy="520495"/>
        </a:xfrm>
        <a:prstGeom prst="rect">
          <a:avLst/>
        </a:prstGeom>
        <a:noFill/>
      </xdr:spPr>
    </xdr:pic>
    <xdr:clientData/>
  </xdr:twoCellAnchor>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0</xdr:col>
          <xdr:colOff>47625</xdr:colOff>
          <xdr:row>0</xdr:row>
          <xdr:rowOff>38100</xdr:rowOff>
        </xdr:from>
        <xdr:to>
          <xdr:col>1</xdr:col>
          <xdr:colOff>542925</xdr:colOff>
          <xdr:row>2</xdr:row>
          <xdr:rowOff>152400</xdr:rowOff>
        </xdr:to>
        <xdr:sp macro="" textlink="">
          <xdr:nvSpPr>
            <xdr:cNvPr id="51295" name="ZeroInstrumentButton" hidden="1">
              <a:extLst>
                <a:ext uri="{63B3BB69-23CF-44E3-9099-C40C66FF867C}">
                  <a14:compatExt spid="_x0000_s5129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0</xdr:row>
          <xdr:rowOff>38100</xdr:rowOff>
        </xdr:from>
        <xdr:to>
          <xdr:col>3</xdr:col>
          <xdr:colOff>161925</xdr:colOff>
          <xdr:row>2</xdr:row>
          <xdr:rowOff>152400</xdr:rowOff>
        </xdr:to>
        <xdr:sp macro="" textlink="">
          <xdr:nvSpPr>
            <xdr:cNvPr id="51296" name="MeasureButton" hidden="1">
              <a:extLst>
                <a:ext uri="{63B3BB69-23CF-44E3-9099-C40C66FF867C}">
                  <a14:compatExt spid="_x0000_s512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38100</xdr:rowOff>
        </xdr:from>
        <xdr:to>
          <xdr:col>4</xdr:col>
          <xdr:colOff>847725</xdr:colOff>
          <xdr:row>2</xdr:row>
          <xdr:rowOff>152400</xdr:rowOff>
        </xdr:to>
        <xdr:sp macro="" textlink="">
          <xdr:nvSpPr>
            <xdr:cNvPr id="51298" name="LogToSummaryButton" hidden="1">
              <a:extLst>
                <a:ext uri="{63B3BB69-23CF-44E3-9099-C40C66FF867C}">
                  <a14:compatExt spid="_x0000_s5129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876300</xdr:colOff>
          <xdr:row>0</xdr:row>
          <xdr:rowOff>38100</xdr:rowOff>
        </xdr:from>
        <xdr:to>
          <xdr:col>6</xdr:col>
          <xdr:colOff>695325</xdr:colOff>
          <xdr:row>2</xdr:row>
          <xdr:rowOff>152400</xdr:rowOff>
        </xdr:to>
        <xdr:sp macro="" textlink="">
          <xdr:nvSpPr>
            <xdr:cNvPr id="51301" name="SaveGraphtoTextButton" hidden="1">
              <a:extLst>
                <a:ext uri="{63B3BB69-23CF-44E3-9099-C40C66FF867C}">
                  <a14:compatExt spid="_x0000_s5130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714375</xdr:colOff>
          <xdr:row>0</xdr:row>
          <xdr:rowOff>28575</xdr:rowOff>
        </xdr:from>
        <xdr:to>
          <xdr:col>8</xdr:col>
          <xdr:colOff>285750</xdr:colOff>
          <xdr:row>2</xdr:row>
          <xdr:rowOff>142875</xdr:rowOff>
        </xdr:to>
        <xdr:sp macro="" textlink="">
          <xdr:nvSpPr>
            <xdr:cNvPr id="51315" name="GenerateReportButton" hidden="1">
              <a:extLst>
                <a:ext uri="{63B3BB69-23CF-44E3-9099-C40C66FF867C}">
                  <a14:compatExt spid="_x0000_s51315"/>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9525</xdr:colOff>
      <xdr:row>4</xdr:row>
      <xdr:rowOff>38100</xdr:rowOff>
    </xdr:from>
    <xdr:to>
      <xdr:col>6</xdr:col>
      <xdr:colOff>514350</xdr:colOff>
      <xdr:row>4</xdr:row>
      <xdr:rowOff>38100</xdr:rowOff>
    </xdr:to>
    <xdr:cxnSp macro="">
      <xdr:nvCxnSpPr>
        <xdr:cNvPr id="6" name="Straight Connector 5"/>
        <xdr:cNvCxnSpPr/>
      </xdr:nvCxnSpPr>
      <xdr:spPr bwMode="auto">
        <a:xfrm>
          <a:off x="9525" y="657225"/>
          <a:ext cx="6048375" cy="0"/>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47625</xdr:colOff>
      <xdr:row>47</xdr:row>
      <xdr:rowOff>76200</xdr:rowOff>
    </xdr:from>
    <xdr:to>
      <xdr:col>6</xdr:col>
      <xdr:colOff>419100</xdr:colOff>
      <xdr:row>47</xdr:row>
      <xdr:rowOff>104776</xdr:rowOff>
    </xdr:to>
    <xdr:cxnSp macro="">
      <xdr:nvCxnSpPr>
        <xdr:cNvPr id="7" name="Straight Connector 6"/>
        <xdr:cNvCxnSpPr/>
      </xdr:nvCxnSpPr>
      <xdr:spPr bwMode="auto">
        <a:xfrm flipV="1">
          <a:off x="47625" y="8420100"/>
          <a:ext cx="5915025" cy="28576"/>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85725</xdr:colOff>
      <xdr:row>47</xdr:row>
      <xdr:rowOff>123825</xdr:rowOff>
    </xdr:from>
    <xdr:to>
      <xdr:col>6</xdr:col>
      <xdr:colOff>428624</xdr:colOff>
      <xdr:row>49</xdr:row>
      <xdr:rowOff>85725</xdr:rowOff>
    </xdr:to>
    <xdr:sp macro="" textlink="">
      <xdr:nvSpPr>
        <xdr:cNvPr id="8" name="TextBox 7"/>
        <xdr:cNvSpPr txBox="1"/>
      </xdr:nvSpPr>
      <xdr:spPr>
        <a:xfrm>
          <a:off x="85725" y="8467725"/>
          <a:ext cx="588644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800">
              <a:solidFill>
                <a:schemeClr val="dk1"/>
              </a:solidFill>
              <a:effectLst/>
              <a:latin typeface="Arial" pitchFamily="34" charset="0"/>
              <a:ea typeface="+mn-ea"/>
              <a:cs typeface="Arial" pitchFamily="34" charset="0"/>
            </a:rPr>
            <a:t>4720 Walnut Street, Suite 102, Boulder, CO 80301 USA  •  +1 303.945.2113  •  www.sintoninstruments.com</a:t>
          </a:r>
        </a:p>
        <a:p>
          <a:endParaRPr lang="en-US" sz="1200"/>
        </a:p>
      </xdr:txBody>
    </xdr:sp>
    <xdr:clientData/>
  </xdr:twoCellAnchor>
  <xdr:twoCellAnchor editAs="absolute">
    <xdr:from>
      <xdr:col>0</xdr:col>
      <xdr:colOff>19050</xdr:colOff>
      <xdr:row>0</xdr:row>
      <xdr:rowOff>0</xdr:rowOff>
    </xdr:from>
    <xdr:to>
      <xdr:col>1</xdr:col>
      <xdr:colOff>1400175</xdr:colOff>
      <xdr:row>4</xdr:row>
      <xdr:rowOff>4898</xdr:rowOff>
    </xdr:to>
    <xdr:pic>
      <xdr:nvPicPr>
        <xdr:cNvPr id="11"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1666875" cy="624023"/>
        </a:xfrm>
        <a:prstGeom prst="rect">
          <a:avLst/>
        </a:prstGeom>
        <a:noFill/>
      </xdr:spPr>
    </xdr:pic>
    <xdr:clientData/>
  </xdr:twoCellAnchor>
  <xdr:twoCellAnchor>
    <xdr:from>
      <xdr:col>1</xdr:col>
      <xdr:colOff>1952625</xdr:colOff>
      <xdr:row>30</xdr:row>
      <xdr:rowOff>9525</xdr:rowOff>
    </xdr:from>
    <xdr:to>
      <xdr:col>1</xdr:col>
      <xdr:colOff>2209800</xdr:colOff>
      <xdr:row>31</xdr:row>
      <xdr:rowOff>9525</xdr:rowOff>
    </xdr:to>
    <xdr:sp macro="" textlink="">
      <xdr:nvSpPr>
        <xdr:cNvPr id="12" name="Rectangle 11"/>
        <xdr:cNvSpPr/>
      </xdr:nvSpPr>
      <xdr:spPr bwMode="auto">
        <a:xfrm>
          <a:off x="2238375" y="44005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28</xdr:row>
      <xdr:rowOff>9525</xdr:rowOff>
    </xdr:from>
    <xdr:to>
      <xdr:col>1</xdr:col>
      <xdr:colOff>2209800</xdr:colOff>
      <xdr:row>29</xdr:row>
      <xdr:rowOff>9525</xdr:rowOff>
    </xdr:to>
    <xdr:sp macro="" textlink="">
      <xdr:nvSpPr>
        <xdr:cNvPr id="13" name="Rectangle 12"/>
        <xdr:cNvSpPr/>
      </xdr:nvSpPr>
      <xdr:spPr bwMode="auto">
        <a:xfrm>
          <a:off x="2238375" y="40957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29</xdr:row>
      <xdr:rowOff>9525</xdr:rowOff>
    </xdr:from>
    <xdr:to>
      <xdr:col>1</xdr:col>
      <xdr:colOff>2209800</xdr:colOff>
      <xdr:row>30</xdr:row>
      <xdr:rowOff>9525</xdr:rowOff>
    </xdr:to>
    <xdr:sp macro="" textlink="">
      <xdr:nvSpPr>
        <xdr:cNvPr id="14" name="Rectangle 13"/>
        <xdr:cNvSpPr/>
      </xdr:nvSpPr>
      <xdr:spPr bwMode="auto">
        <a:xfrm>
          <a:off x="2238375" y="42481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2</xdr:col>
      <xdr:colOff>723898</xdr:colOff>
      <xdr:row>38</xdr:row>
      <xdr:rowOff>152399</xdr:rowOff>
    </xdr:from>
    <xdr:to>
      <xdr:col>5</xdr:col>
      <xdr:colOff>609599</xdr:colOff>
      <xdr:row>39</xdr:row>
      <xdr:rowOff>1323974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trlProp" Target="../ctrlProps/ctrlProp1.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ctrlProp" Target="../ctrlProps/ctrlProp3.xml"/><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3:N9"/>
  <sheetViews>
    <sheetView workbookViewId="0">
      <selection activeCell="A5" sqref="A5"/>
    </sheetView>
  </sheetViews>
  <sheetFormatPr defaultRowHeight="12.75"/>
  <cols>
    <col min="1" max="1" width="15" style="264" customWidth="1"/>
    <col min="2" max="2" width="13.5703125" style="264" customWidth="1"/>
    <col min="3" max="3" width="11.28515625" style="264" customWidth="1"/>
    <col min="4" max="4" width="10.5703125" style="264" customWidth="1"/>
    <col min="5" max="5" width="9.140625" style="264" customWidth="1"/>
    <col min="6" max="16384" width="9.140625" style="264"/>
  </cols>
  <sheetData>
    <row r="3" spans="1:14" ht="15" customHeight="1">
      <c r="A3" s="280"/>
      <c r="B3" s="280"/>
      <c r="C3" s="280"/>
      <c r="D3" s="280"/>
    </row>
    <row r="4" spans="1:14" ht="26.25">
      <c r="A4" s="279" t="s">
        <v>273</v>
      </c>
      <c r="B4" s="279" t="s">
        <v>14</v>
      </c>
      <c r="C4" s="279" t="s">
        <v>200</v>
      </c>
      <c r="D4" s="279" t="s">
        <v>162</v>
      </c>
      <c r="H4" s="265" t="s">
        <v>159</v>
      </c>
      <c r="I4" s="266"/>
      <c r="J4" s="266"/>
      <c r="L4" s="269"/>
      <c r="M4" s="269"/>
      <c r="N4" s="269"/>
    </row>
    <row r="5" spans="1:14" ht="12.75" customHeight="1">
      <c r="A5" s="296" t="s">
        <v>411</v>
      </c>
      <c r="B5" s="296" t="s">
        <v>345</v>
      </c>
      <c r="C5" s="296">
        <v>5.2499999999999998E-2</v>
      </c>
      <c r="D5" s="296">
        <v>50</v>
      </c>
      <c r="H5" s="267" t="s">
        <v>48</v>
      </c>
      <c r="I5" s="270" t="s">
        <v>413</v>
      </c>
      <c r="J5" s="10" t="s">
        <v>415</v>
      </c>
      <c r="L5" s="269"/>
      <c r="M5" s="269"/>
      <c r="N5" s="269"/>
    </row>
    <row r="6" spans="1:14" ht="15.75">
      <c r="A6" s="191" t="s">
        <v>23</v>
      </c>
      <c r="B6" s="191"/>
      <c r="C6" s="9"/>
      <c r="D6" s="10"/>
      <c r="E6" s="200"/>
      <c r="G6" s="191" t="s">
        <v>257</v>
      </c>
      <c r="H6" s="269"/>
      <c r="I6" s="268"/>
      <c r="J6" s="268"/>
      <c r="K6" s="268"/>
      <c r="L6" s="269"/>
      <c r="M6" s="269"/>
      <c r="N6" s="269"/>
    </row>
    <row r="7" spans="1:14" ht="38.25">
      <c r="A7" s="271" t="s">
        <v>25</v>
      </c>
      <c r="B7" s="272" t="s">
        <v>406</v>
      </c>
      <c r="C7" s="272" t="s">
        <v>407</v>
      </c>
      <c r="D7" s="272" t="s">
        <v>408</v>
      </c>
      <c r="E7" s="272" t="s">
        <v>274</v>
      </c>
      <c r="F7" s="273" t="s">
        <v>281</v>
      </c>
      <c r="G7" s="298" t="str">
        <f ca="1">RefCellErrorMsg&amp;MCDErrorMsg&amp;LightBiasErrorMsg&amp;AirVoltageError&amp;AnalysisModeErrorMsg&amp;CoverSheetErrorMsg</f>
        <v xml:space="preserve">  Choose Specificed MCD within Data, Min MCD &lt; Spec MCD &lt; Max MCDInput values must be updated, Click the Update button above</v>
      </c>
      <c r="H7" s="298"/>
      <c r="I7" s="298"/>
      <c r="J7" s="298"/>
      <c r="K7" s="268"/>
      <c r="L7" s="269"/>
      <c r="M7" s="269"/>
      <c r="N7" s="269"/>
    </row>
    <row r="8" spans="1:14">
      <c r="A8" s="274" t="e">
        <f>MeasuredLifetime</f>
        <v>#DIV/0!</v>
      </c>
      <c r="B8" s="275">
        <f>SheetResistance</f>
        <v>31.800500430077275</v>
      </c>
      <c r="C8" s="276">
        <f>MeasuredResistivity</f>
        <v>1.6949666729231188</v>
      </c>
      <c r="D8" s="277" t="e">
        <f>Jo</f>
        <v>#VALUE!</v>
      </c>
      <c r="E8" s="275" t="e">
        <f>TauFitIntercept</f>
        <v>#DIV/0!</v>
      </c>
      <c r="F8" s="278" t="e">
        <f ca="1">ImpliedVoc1sun</f>
        <v>#N/A</v>
      </c>
      <c r="G8" s="298"/>
      <c r="H8" s="298"/>
      <c r="I8" s="298"/>
      <c r="J8" s="298"/>
      <c r="K8" s="268"/>
      <c r="L8" s="269"/>
      <c r="M8" s="269"/>
      <c r="N8" s="269"/>
    </row>
    <row r="9" spans="1:14">
      <c r="H9" s="269"/>
      <c r="I9" s="269"/>
      <c r="J9" s="269"/>
      <c r="K9" s="269"/>
      <c r="L9" s="269"/>
      <c r="M9" s="269"/>
      <c r="N9" s="269"/>
    </row>
  </sheetData>
  <sheetProtection sheet="1" objects="1" scenarios="1" selectLockedCells="1"/>
  <mergeCells count="1">
    <mergeCell ref="G7:J8"/>
  </mergeCells>
  <pageMargins left="0.7" right="0.7" top="0.75" bottom="0.75" header="0.3" footer="0.3"/>
  <drawing r:id="rId1"/>
  <legacyDrawing r:id="rId2"/>
  <controls>
    <mc:AlternateContent xmlns:mc="http://schemas.openxmlformats.org/markup-compatibility/2006">
      <mc:Choice Requires="x14">
        <control shapeId="101399" r:id="rId3" name="CommandButton4">
          <controlPr defaultSize="0" print="0" autoLine="0" r:id="rId4">
            <anchor>
              <from>
                <xdr:col>4</xdr:col>
                <xdr:colOff>19050</xdr:colOff>
                <xdr:row>3</xdr:row>
                <xdr:rowOff>0</xdr:rowOff>
              </from>
              <to>
                <xdr:col>6</xdr:col>
                <xdr:colOff>447675</xdr:colOff>
                <xdr:row>5</xdr:row>
                <xdr:rowOff>9525</xdr:rowOff>
              </to>
            </anchor>
          </controlPr>
        </control>
      </mc:Choice>
      <mc:Fallback>
        <control shapeId="101399" r:id="rId3" name="CommandButton4"/>
      </mc:Fallback>
    </mc:AlternateContent>
    <mc:AlternateContent xmlns:mc="http://schemas.openxmlformats.org/markup-compatibility/2006">
      <mc:Choice Requires="x14">
        <control shapeId="101377" r:id="rId5" name="CommandButton1">
          <controlPr defaultSize="0" print="0" autoLine="0" r:id="rId6">
            <anchor>
              <from>
                <xdr:col>0</xdr:col>
                <xdr:colOff>0</xdr:colOff>
                <xdr:row>0</xdr:row>
                <xdr:rowOff>0</xdr:rowOff>
              </from>
              <to>
                <xdr:col>1</xdr:col>
                <xdr:colOff>647700</xdr:colOff>
                <xdr:row>2</xdr:row>
                <xdr:rowOff>180975</xdr:rowOff>
              </to>
            </anchor>
          </controlPr>
        </control>
      </mc:Choice>
      <mc:Fallback>
        <control shapeId="101377" r:id="rId5" name="CommandButton1"/>
      </mc:Fallback>
    </mc:AlternateContent>
    <mc:AlternateContent xmlns:mc="http://schemas.openxmlformats.org/markup-compatibility/2006">
      <mc:Choice Requires="x14">
        <control shapeId="101378" r:id="rId7" name="CommandButton2">
          <controlPr defaultSize="0" print="0" autoLine="0" r:id="rId8">
            <anchor>
              <from>
                <xdr:col>1</xdr:col>
                <xdr:colOff>685800</xdr:colOff>
                <xdr:row>0</xdr:row>
                <xdr:rowOff>0</xdr:rowOff>
              </from>
              <to>
                <xdr:col>3</xdr:col>
                <xdr:colOff>676275</xdr:colOff>
                <xdr:row>2</xdr:row>
                <xdr:rowOff>180975</xdr:rowOff>
              </to>
            </anchor>
          </controlPr>
        </control>
      </mc:Choice>
      <mc:Fallback>
        <control shapeId="101378" r:id="rId7" name="CommandButton2"/>
      </mc:Fallback>
    </mc:AlternateContent>
    <mc:AlternateContent xmlns:mc="http://schemas.openxmlformats.org/markup-compatibility/2006">
      <mc:Choice Requires="x14">
        <control shapeId="101379" r:id="rId9" name="CommandButton3">
          <controlPr defaultSize="0" print="0" autoLine="0" r:id="rId10">
            <anchor>
              <from>
                <xdr:col>4</xdr:col>
                <xdr:colOff>19050</xdr:colOff>
                <xdr:row>0</xdr:row>
                <xdr:rowOff>0</xdr:rowOff>
              </from>
              <to>
                <xdr:col>6</xdr:col>
                <xdr:colOff>447675</xdr:colOff>
                <xdr:row>2</xdr:row>
                <xdr:rowOff>180975</xdr:rowOff>
              </to>
            </anchor>
          </controlPr>
        </control>
      </mc:Choice>
      <mc:Fallback>
        <control shapeId="101379" r:id="rId9" name="CommandButton3"/>
      </mc:Fallback>
    </mc:AlternateContent>
    <mc:AlternateContent xmlns:mc="http://schemas.openxmlformats.org/markup-compatibility/2006">
      <mc:Choice Requires="x14">
        <control shapeId="101380" r:id="rId11" name="Button 4">
          <controlPr defaultSize="0" print="0" autoFill="0" autoPict="0" macro="[0]!RescaleInverse">
            <anchor>
              <from>
                <xdr:col>8</xdr:col>
                <xdr:colOff>209550</xdr:colOff>
                <xdr:row>8</xdr:row>
                <xdr:rowOff>19050</xdr:rowOff>
              </from>
              <to>
                <xdr:col>9</xdr:col>
                <xdr:colOff>247650</xdr:colOff>
                <xdr:row>10</xdr:row>
                <xdr:rowOff>85725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InputRanges!$C$8:$C$22</xm:f>
          </x14:formula1>
          <xm:sqref>A5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4:O22"/>
  <sheetViews>
    <sheetView workbookViewId="0">
      <selection activeCell="C9" sqref="C9"/>
    </sheetView>
  </sheetViews>
  <sheetFormatPr defaultRowHeight="12.75"/>
  <cols>
    <col min="1" max="6" width="9.140625" style="282"/>
    <col min="7" max="7" width="17" style="282" customWidth="1"/>
    <col min="8" max="10" width="9.140625" style="282"/>
    <col min="11" max="11" width="12.140625" style="282" customWidth="1"/>
    <col min="12" max="12" width="15.140625" style="282" customWidth="1"/>
    <col min="13" max="13" width="15.28515625" style="282" customWidth="1"/>
    <col min="14" max="16384" width="9.140625" style="282"/>
  </cols>
  <sheetData>
    <row r="4" spans="2:15" ht="15.75">
      <c r="B4" s="281" t="s">
        <v>386</v>
      </c>
      <c r="L4" s="281"/>
    </row>
    <row r="5" spans="2:15">
      <c r="B5" s="283" t="s">
        <v>409</v>
      </c>
      <c r="C5" s="283" t="str">
        <f>SampleInputType</f>
        <v>Default</v>
      </c>
      <c r="D5" s="283" t="str">
        <f>LOOKUP($C$5,$C$8:$C$22,D8:D22)</f>
        <v>p-type</v>
      </c>
      <c r="E5" s="283">
        <f t="shared" ref="E5:K5" si="0">LOOKUP($C$5,$C$8:$C$22,E8:E22)</f>
        <v>0.7</v>
      </c>
      <c r="F5" s="283">
        <f t="shared" si="0"/>
        <v>1000000000000000</v>
      </c>
      <c r="G5" s="283" t="str">
        <f t="shared" si="0"/>
        <v>Generalized (1/1)</v>
      </c>
      <c r="H5" s="283">
        <f t="shared" si="0"/>
        <v>5</v>
      </c>
      <c r="I5" s="283">
        <f t="shared" si="0"/>
        <v>0.2</v>
      </c>
      <c r="J5" s="284">
        <f t="shared" si="0"/>
        <v>0.3</v>
      </c>
      <c r="K5" s="283">
        <f t="shared" si="0"/>
        <v>1</v>
      </c>
      <c r="L5" s="285"/>
    </row>
    <row r="6" spans="2:15">
      <c r="L6" s="285"/>
    </row>
    <row r="7" spans="2:15" ht="25.5">
      <c r="B7" s="286"/>
      <c r="C7" s="287" t="s">
        <v>391</v>
      </c>
      <c r="D7" s="287" t="s">
        <v>387</v>
      </c>
      <c r="E7" s="287" t="s">
        <v>20</v>
      </c>
      <c r="F7" s="287" t="s">
        <v>192</v>
      </c>
      <c r="G7" s="287" t="s">
        <v>156</v>
      </c>
      <c r="H7" s="287" t="s">
        <v>388</v>
      </c>
      <c r="I7" s="287" t="s">
        <v>389</v>
      </c>
      <c r="J7" s="287" t="s">
        <v>2</v>
      </c>
      <c r="K7" s="287" t="s">
        <v>390</v>
      </c>
      <c r="L7" s="32"/>
      <c r="M7" s="32"/>
      <c r="N7" s="32"/>
      <c r="O7" s="32"/>
    </row>
    <row r="8" spans="2:15">
      <c r="B8" s="286">
        <v>1</v>
      </c>
      <c r="C8" s="66" t="s">
        <v>411</v>
      </c>
      <c r="D8" s="292" t="s">
        <v>227</v>
      </c>
      <c r="E8" s="292">
        <v>0.7</v>
      </c>
      <c r="F8" s="293">
        <v>1000000000000000</v>
      </c>
      <c r="G8" s="292" t="s">
        <v>367</v>
      </c>
      <c r="H8" s="292">
        <v>5</v>
      </c>
      <c r="I8" s="292">
        <v>0.2</v>
      </c>
      <c r="J8" s="294">
        <v>0.3</v>
      </c>
      <c r="K8" s="292">
        <v>1</v>
      </c>
      <c r="L8" s="285"/>
    </row>
    <row r="9" spans="2:15">
      <c r="B9" s="286">
        <v>2</v>
      </c>
      <c r="C9" s="207" t="s">
        <v>392</v>
      </c>
      <c r="D9" s="288" t="s">
        <v>26</v>
      </c>
      <c r="E9" s="288">
        <v>0.7</v>
      </c>
      <c r="F9" s="289">
        <v>1000000000000000</v>
      </c>
      <c r="G9" s="288" t="s">
        <v>367</v>
      </c>
      <c r="H9" s="288">
        <v>5</v>
      </c>
      <c r="I9" s="288">
        <v>0.2</v>
      </c>
      <c r="J9" s="290">
        <v>0.3</v>
      </c>
      <c r="K9" s="288">
        <v>1</v>
      </c>
      <c r="L9" s="285"/>
    </row>
    <row r="10" spans="2:15">
      <c r="B10" s="286">
        <v>3</v>
      </c>
      <c r="C10" s="207" t="s">
        <v>393</v>
      </c>
      <c r="D10" s="288" t="s">
        <v>26</v>
      </c>
      <c r="E10" s="288">
        <v>0.7</v>
      </c>
      <c r="F10" s="289">
        <v>1000000000000000</v>
      </c>
      <c r="G10" s="288" t="s">
        <v>367</v>
      </c>
      <c r="H10" s="288">
        <v>5</v>
      </c>
      <c r="I10" s="288">
        <v>0.2</v>
      </c>
      <c r="J10" s="290">
        <v>0.3</v>
      </c>
      <c r="K10" s="288">
        <v>1</v>
      </c>
      <c r="L10" s="285"/>
    </row>
    <row r="11" spans="2:15">
      <c r="B11" s="286">
        <v>4</v>
      </c>
      <c r="C11" s="207" t="s">
        <v>394</v>
      </c>
      <c r="D11" s="288" t="s">
        <v>26</v>
      </c>
      <c r="E11" s="288">
        <v>0.7</v>
      </c>
      <c r="F11" s="289">
        <v>1000000000000000</v>
      </c>
      <c r="G11" s="288" t="s">
        <v>367</v>
      </c>
      <c r="H11" s="288">
        <v>5</v>
      </c>
      <c r="I11" s="288">
        <v>0.2</v>
      </c>
      <c r="J11" s="290">
        <v>0.3</v>
      </c>
      <c r="K11" s="288">
        <v>1</v>
      </c>
      <c r="L11" s="285"/>
    </row>
    <row r="12" spans="2:15">
      <c r="B12" s="286">
        <v>5</v>
      </c>
      <c r="C12" s="207" t="s">
        <v>395</v>
      </c>
      <c r="D12" s="288" t="s">
        <v>26</v>
      </c>
      <c r="E12" s="288">
        <v>0.7</v>
      </c>
      <c r="F12" s="289">
        <v>1000000000000000</v>
      </c>
      <c r="G12" s="288" t="s">
        <v>367</v>
      </c>
      <c r="H12" s="288">
        <v>5</v>
      </c>
      <c r="I12" s="288">
        <v>0.2</v>
      </c>
      <c r="J12" s="290">
        <v>0.3</v>
      </c>
      <c r="K12" s="288">
        <v>1</v>
      </c>
      <c r="L12" s="285"/>
    </row>
    <row r="13" spans="2:15">
      <c r="B13" s="286">
        <v>6</v>
      </c>
      <c r="C13" s="207" t="s">
        <v>396</v>
      </c>
      <c r="D13" s="288" t="s">
        <v>26</v>
      </c>
      <c r="E13" s="288">
        <v>0.7</v>
      </c>
      <c r="F13" s="289">
        <v>1000000000000000</v>
      </c>
      <c r="G13" s="288" t="s">
        <v>367</v>
      </c>
      <c r="H13" s="288">
        <v>5</v>
      </c>
      <c r="I13" s="288">
        <v>0.2</v>
      </c>
      <c r="J13" s="290">
        <v>0.3</v>
      </c>
      <c r="K13" s="288">
        <v>1</v>
      </c>
      <c r="L13" s="285"/>
    </row>
    <row r="14" spans="2:15">
      <c r="B14" s="286">
        <v>7</v>
      </c>
      <c r="C14" s="207" t="s">
        <v>397</v>
      </c>
      <c r="D14" s="288" t="s">
        <v>26</v>
      </c>
      <c r="E14" s="288">
        <v>0.7</v>
      </c>
      <c r="F14" s="289">
        <v>1000000000000000</v>
      </c>
      <c r="G14" s="288" t="s">
        <v>367</v>
      </c>
      <c r="H14" s="288">
        <v>5</v>
      </c>
      <c r="I14" s="288">
        <v>0.2</v>
      </c>
      <c r="J14" s="290">
        <v>0.3</v>
      </c>
      <c r="K14" s="288">
        <v>1</v>
      </c>
      <c r="L14" s="285"/>
    </row>
    <row r="15" spans="2:15">
      <c r="B15" s="286">
        <v>8</v>
      </c>
      <c r="C15" s="207" t="s">
        <v>398</v>
      </c>
      <c r="D15" s="288" t="s">
        <v>26</v>
      </c>
      <c r="E15" s="288">
        <v>0.7</v>
      </c>
      <c r="F15" s="289">
        <v>1000000000000000</v>
      </c>
      <c r="G15" s="288" t="s">
        <v>367</v>
      </c>
      <c r="H15" s="288">
        <v>5</v>
      </c>
      <c r="I15" s="288">
        <v>0.2</v>
      </c>
      <c r="J15" s="290">
        <v>0.3</v>
      </c>
      <c r="K15" s="288">
        <v>1</v>
      </c>
      <c r="L15" s="285"/>
    </row>
    <row r="16" spans="2:15">
      <c r="B16" s="286">
        <v>9</v>
      </c>
      <c r="C16" s="207" t="s">
        <v>399</v>
      </c>
      <c r="D16" s="288" t="s">
        <v>26</v>
      </c>
      <c r="E16" s="288">
        <v>0.7</v>
      </c>
      <c r="F16" s="289">
        <v>1000000000000000</v>
      </c>
      <c r="G16" s="288" t="s">
        <v>367</v>
      </c>
      <c r="H16" s="288">
        <v>5</v>
      </c>
      <c r="I16" s="288">
        <v>0.2</v>
      </c>
      <c r="J16" s="290">
        <v>0.3</v>
      </c>
      <c r="K16" s="288">
        <v>1</v>
      </c>
      <c r="L16" s="285"/>
    </row>
    <row r="17" spans="2:12">
      <c r="B17" s="286">
        <v>10</v>
      </c>
      <c r="C17" s="207" t="s">
        <v>400</v>
      </c>
      <c r="D17" s="288" t="s">
        <v>26</v>
      </c>
      <c r="E17" s="288">
        <v>0.7</v>
      </c>
      <c r="F17" s="289">
        <v>1000000000000000</v>
      </c>
      <c r="G17" s="288" t="s">
        <v>367</v>
      </c>
      <c r="H17" s="288">
        <v>5</v>
      </c>
      <c r="I17" s="288">
        <v>0.2</v>
      </c>
      <c r="J17" s="290">
        <v>0.3</v>
      </c>
      <c r="K17" s="288">
        <v>1</v>
      </c>
      <c r="L17" s="285"/>
    </row>
    <row r="18" spans="2:12">
      <c r="B18" s="286">
        <v>11</v>
      </c>
      <c r="C18" s="207" t="s">
        <v>401</v>
      </c>
      <c r="D18" s="288" t="s">
        <v>26</v>
      </c>
      <c r="E18" s="288">
        <v>0.7</v>
      </c>
      <c r="F18" s="289">
        <v>1000000000000000</v>
      </c>
      <c r="G18" s="288" t="s">
        <v>367</v>
      </c>
      <c r="H18" s="288">
        <v>5</v>
      </c>
      <c r="I18" s="288">
        <v>0.2</v>
      </c>
      <c r="J18" s="290">
        <v>0.3</v>
      </c>
      <c r="K18" s="288">
        <v>1</v>
      </c>
      <c r="L18" s="285"/>
    </row>
    <row r="19" spans="2:12">
      <c r="B19" s="286">
        <v>12</v>
      </c>
      <c r="C19" s="207" t="s">
        <v>402</v>
      </c>
      <c r="D19" s="288" t="s">
        <v>26</v>
      </c>
      <c r="E19" s="288">
        <v>0.7</v>
      </c>
      <c r="F19" s="289">
        <v>1000000000000000</v>
      </c>
      <c r="G19" s="288" t="s">
        <v>367</v>
      </c>
      <c r="H19" s="288">
        <v>5</v>
      </c>
      <c r="I19" s="288">
        <v>0.2</v>
      </c>
      <c r="J19" s="290">
        <v>0.3</v>
      </c>
      <c r="K19" s="288">
        <v>1</v>
      </c>
      <c r="L19" s="285"/>
    </row>
    <row r="20" spans="2:12">
      <c r="B20" s="286">
        <v>13</v>
      </c>
      <c r="C20" s="207" t="s">
        <v>403</v>
      </c>
      <c r="D20" s="288" t="s">
        <v>26</v>
      </c>
      <c r="E20" s="288">
        <v>0.7</v>
      </c>
      <c r="F20" s="289">
        <v>1000000000000000</v>
      </c>
      <c r="G20" s="288" t="s">
        <v>367</v>
      </c>
      <c r="H20" s="288">
        <v>5</v>
      </c>
      <c r="I20" s="288">
        <v>0.2</v>
      </c>
      <c r="J20" s="290">
        <v>0.3</v>
      </c>
      <c r="K20" s="288">
        <v>1</v>
      </c>
      <c r="L20" s="285"/>
    </row>
    <row r="21" spans="2:12">
      <c r="B21" s="286">
        <v>14</v>
      </c>
      <c r="C21" s="207" t="s">
        <v>404</v>
      </c>
      <c r="D21" s="288" t="s">
        <v>26</v>
      </c>
      <c r="E21" s="288">
        <v>0.7</v>
      </c>
      <c r="F21" s="289">
        <v>1000000000000000</v>
      </c>
      <c r="G21" s="288" t="s">
        <v>367</v>
      </c>
      <c r="H21" s="288">
        <v>5</v>
      </c>
      <c r="I21" s="288">
        <v>0.2</v>
      </c>
      <c r="J21" s="290">
        <v>0.3</v>
      </c>
      <c r="K21" s="288">
        <v>1</v>
      </c>
    </row>
    <row r="22" spans="2:12">
      <c r="B22" s="286">
        <v>15</v>
      </c>
      <c r="C22" s="207" t="s">
        <v>405</v>
      </c>
      <c r="D22" s="288" t="s">
        <v>26</v>
      </c>
      <c r="E22" s="288">
        <v>0.7</v>
      </c>
      <c r="F22" s="289">
        <v>1000000000000000</v>
      </c>
      <c r="G22" s="288" t="s">
        <v>367</v>
      </c>
      <c r="H22" s="288">
        <v>5</v>
      </c>
      <c r="I22" s="288">
        <v>0.2</v>
      </c>
      <c r="J22" s="290">
        <v>0.3</v>
      </c>
      <c r="K22" s="288">
        <v>1</v>
      </c>
    </row>
  </sheetData>
  <sheetProtection sheet="1" objects="1" scenarios="1" selectLockedCells="1"/>
  <dataValidations count="2">
    <dataValidation type="list" allowBlank="1" showInputMessage="1" showErrorMessage="1" sqref="D8:D22">
      <formula1>type_list</formula1>
    </dataValidation>
    <dataValidation type="list" allowBlank="1" showInputMessage="1" showErrorMessage="1" sqref="G8:G22">
      <formula1>Mode_List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Command!$D$30:$D$36</xm:f>
          </x14:formula1>
          <xm:sqref>H8:I22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abSelected="1" zoomScale="70" zoomScaleNormal="70" workbookViewId="0">
      <selection activeCell="B6" sqref="B6"/>
    </sheetView>
  </sheetViews>
  <sheetFormatPr defaultRowHeight="12.75"/>
  <cols>
    <col min="1" max="1" width="17.28515625" style="1" customWidth="1"/>
    <col min="2" max="2" width="14.85546875" style="1" customWidth="1"/>
    <col min="3" max="3" width="16" style="1" customWidth="1"/>
    <col min="4" max="4" width="14.85546875" style="1" customWidth="1"/>
    <col min="5" max="6" width="13.7109375" style="1" customWidth="1"/>
    <col min="7" max="7" width="13.42578125" style="1" customWidth="1"/>
    <col min="8" max="8" width="17.7109375" style="1" customWidth="1"/>
    <col min="9" max="9" width="15.7109375" style="1" customWidth="1"/>
    <col min="10" max="11" width="14.140625" style="1" customWidth="1"/>
    <col min="12" max="12" width="12.42578125" style="1" customWidth="1"/>
    <col min="13" max="13" width="11.28515625" style="1" customWidth="1"/>
    <col min="14" max="14" width="9.28515625" style="1" bestFit="1" customWidth="1"/>
    <col min="15" max="15" width="10.5703125" style="1" bestFit="1" customWidth="1"/>
    <col min="16" max="16384" width="9.140625" style="1"/>
  </cols>
  <sheetData>
    <row r="1" spans="1:20" ht="15.75" customHeight="1">
      <c r="C1" s="3"/>
      <c r="E1" s="17"/>
      <c r="K1" s="22" t="s">
        <v>159</v>
      </c>
      <c r="R1" s="17"/>
    </row>
    <row r="2" spans="1:20" s="5" customFormat="1" ht="15" customHeight="1">
      <c r="A2" s="4"/>
      <c r="B2" s="4"/>
      <c r="C2" s="24"/>
      <c r="D2" s="4"/>
      <c r="E2" s="4"/>
      <c r="F2" s="4"/>
      <c r="G2" s="4"/>
      <c r="H2" s="4"/>
      <c r="K2" s="31" t="s">
        <v>48</v>
      </c>
      <c r="L2" s="196" t="s">
        <v>418</v>
      </c>
      <c r="M2" s="10" t="s">
        <v>415</v>
      </c>
      <c r="O2" s="9"/>
      <c r="P2" s="4"/>
      <c r="Q2" s="4"/>
      <c r="R2" s="4"/>
      <c r="S2" s="4"/>
    </row>
    <row r="3" spans="1:20" s="5" customFormat="1" ht="15" customHeight="1">
      <c r="A3" s="6"/>
      <c r="B3" s="7"/>
      <c r="C3" s="12"/>
      <c r="D3" s="8"/>
      <c r="E3" s="8"/>
      <c r="F3" s="8"/>
      <c r="G3" s="25"/>
      <c r="H3" s="4"/>
      <c r="M3" s="4"/>
      <c r="N3" s="4"/>
      <c r="P3" s="4"/>
      <c r="Q3" s="4"/>
      <c r="R3" s="4"/>
      <c r="S3" s="4"/>
    </row>
    <row r="4" spans="1:20" s="5" customFormat="1" ht="15" customHeight="1">
      <c r="A4" s="191" t="s">
        <v>157</v>
      </c>
      <c r="B4" s="191"/>
      <c r="C4" s="192"/>
      <c r="D4" s="191"/>
      <c r="E4" s="191" t="s">
        <v>13</v>
      </c>
      <c r="F4" s="191"/>
      <c r="G4" s="191"/>
      <c r="I4" s="191" t="s">
        <v>160</v>
      </c>
      <c r="J4" s="193"/>
      <c r="K4" s="193"/>
      <c r="M4" s="9"/>
      <c r="O4" s="9"/>
      <c r="P4" s="9"/>
      <c r="Q4" s="11"/>
      <c r="R4" s="4"/>
      <c r="S4" s="4"/>
    </row>
    <row r="5" spans="1:20" ht="35.25" customHeight="1">
      <c r="A5" s="184" t="s">
        <v>14</v>
      </c>
      <c r="B5" s="185" t="s">
        <v>158</v>
      </c>
      <c r="C5" s="185" t="s">
        <v>162</v>
      </c>
      <c r="D5" s="186" t="s">
        <v>273</v>
      </c>
      <c r="E5" s="184" t="s">
        <v>20</v>
      </c>
      <c r="F5" s="185" t="s">
        <v>258</v>
      </c>
      <c r="G5" s="202" t="s">
        <v>171</v>
      </c>
      <c r="H5" s="203" t="s">
        <v>156</v>
      </c>
      <c r="I5" s="185" t="s">
        <v>15</v>
      </c>
      <c r="J5" s="185" t="s">
        <v>19</v>
      </c>
      <c r="K5" s="185" t="s">
        <v>22</v>
      </c>
      <c r="L5" s="307"/>
      <c r="M5" s="308"/>
      <c r="N5" s="308"/>
      <c r="O5" s="5"/>
      <c r="P5" s="5"/>
      <c r="Q5" s="11"/>
      <c r="R5" s="4"/>
      <c r="S5" s="4"/>
      <c r="T5" s="5"/>
    </row>
    <row r="6" spans="1:20" s="15" customFormat="1" ht="15.75" customHeight="1">
      <c r="A6" s="177" t="s">
        <v>421</v>
      </c>
      <c r="B6" s="178">
        <v>5.33E-2</v>
      </c>
      <c r="C6" s="179">
        <v>100</v>
      </c>
      <c r="D6" s="180" t="s">
        <v>26</v>
      </c>
      <c r="E6" s="181">
        <v>0.7</v>
      </c>
      <c r="F6" s="182">
        <v>1000000000000000</v>
      </c>
      <c r="G6" s="216">
        <v>0</v>
      </c>
      <c r="H6" s="252" t="s">
        <v>226</v>
      </c>
      <c r="I6" s="204">
        <f>MeasDate</f>
        <v>41593</v>
      </c>
      <c r="J6" s="183">
        <f>MeasTime</f>
        <v>0.46937500000000004</v>
      </c>
      <c r="K6" s="219" t="s">
        <v>420</v>
      </c>
      <c r="L6" s="307"/>
      <c r="M6" s="308"/>
      <c r="N6" s="308"/>
      <c r="O6" s="14"/>
      <c r="P6" s="14"/>
      <c r="Q6" s="5"/>
      <c r="R6" s="14"/>
      <c r="S6" s="13"/>
      <c r="T6" s="14"/>
    </row>
    <row r="7" spans="1:20" ht="18.75" customHeight="1">
      <c r="A7" s="191" t="s">
        <v>23</v>
      </c>
      <c r="B7" s="191"/>
      <c r="C7" s="9"/>
      <c r="D7" s="10"/>
      <c r="E7" s="20"/>
      <c r="F7" s="21"/>
      <c r="G7" s="10" t="s">
        <v>270</v>
      </c>
      <c r="H7" s="9"/>
      <c r="I7" s="9"/>
      <c r="J7" s="10"/>
      <c r="K7" s="200"/>
      <c r="L7" s="191" t="s">
        <v>257</v>
      </c>
      <c r="N7" s="9"/>
      <c r="O7" s="4"/>
      <c r="P7" s="4"/>
      <c r="Q7" s="4"/>
      <c r="R7" s="4"/>
      <c r="S7" s="4"/>
      <c r="T7" s="5"/>
    </row>
    <row r="8" spans="1:20" ht="49.5" customHeight="1">
      <c r="A8" s="184" t="s">
        <v>25</v>
      </c>
      <c r="B8" s="185" t="s">
        <v>259</v>
      </c>
      <c r="C8" s="185" t="s">
        <v>260</v>
      </c>
      <c r="D8" s="185" t="s">
        <v>261</v>
      </c>
      <c r="E8" s="185" t="s">
        <v>274</v>
      </c>
      <c r="F8" s="185" t="s">
        <v>262</v>
      </c>
      <c r="G8" s="185" t="s">
        <v>263</v>
      </c>
      <c r="H8" s="185" t="s">
        <v>264</v>
      </c>
      <c r="I8" s="185" t="s">
        <v>265</v>
      </c>
      <c r="J8" s="185" t="s">
        <v>266</v>
      </c>
      <c r="K8" s="218" t="s">
        <v>281</v>
      </c>
      <c r="L8" s="309" t="str">
        <f ca="1">RefCellErrorMsg&amp;MCDErrorMsg&amp;LightBiasErrorMsg&amp;AirVoltageError&amp;AnalysisModeErrorMsg</f>
        <v xml:space="preserve">  Choose Specificed MCD within Data, Min MCD &lt; Spec MCD &lt; Max MCD</v>
      </c>
      <c r="M8" s="310"/>
      <c r="N8" s="311"/>
      <c r="O8" s="4"/>
      <c r="P8" s="4"/>
      <c r="Q8" s="4"/>
      <c r="R8" s="4"/>
      <c r="S8" s="4"/>
      <c r="T8" s="5"/>
    </row>
    <row r="9" spans="1:20" s="15" customFormat="1" ht="17.25" customHeight="1">
      <c r="A9" s="187" t="e">
        <f>MeasuredLifetime</f>
        <v>#DIV/0!</v>
      </c>
      <c r="B9" s="188">
        <f>SheetResistance</f>
        <v>31.800500430077275</v>
      </c>
      <c r="C9" s="189">
        <f>MeasuredResistivity</f>
        <v>1.6949666729231188</v>
      </c>
      <c r="D9" s="231" t="e">
        <f>Jo</f>
        <v>#VALUE!</v>
      </c>
      <c r="E9" s="188" t="e">
        <f>TauFitIntercept</f>
        <v>#DIV/0!</v>
      </c>
      <c r="F9" s="190">
        <f>MinApparentCD</f>
        <v>100000</v>
      </c>
      <c r="G9" s="190">
        <f>MaxApparentCD</f>
        <v>628980003383610.12</v>
      </c>
      <c r="H9" s="190">
        <f>BiasPtCD</f>
        <v>0</v>
      </c>
      <c r="I9" s="190" t="e">
        <f>Traps</f>
        <v>#DIV/0!</v>
      </c>
      <c r="J9" s="190">
        <f>SampleDoping</f>
        <v>44279440842219.18</v>
      </c>
      <c r="K9" s="220" t="e">
        <f ca="1">ImpliedVoc1sun</f>
        <v>#N/A</v>
      </c>
      <c r="L9" s="312"/>
      <c r="M9" s="313"/>
      <c r="N9" s="314"/>
      <c r="O9" s="4"/>
      <c r="P9" s="4"/>
      <c r="Q9" s="13"/>
      <c r="R9" s="13"/>
      <c r="S9" s="13"/>
      <c r="T9" s="14"/>
    </row>
    <row r="10" spans="1:20" s="15" customFormat="1" ht="18" customHeight="1">
      <c r="A10" s="299" t="e">
        <f>LifetimeTextLabel</f>
        <v>#DIV/0!</v>
      </c>
      <c r="B10" s="300"/>
      <c r="C10" s="300"/>
      <c r="D10" s="300"/>
      <c r="E10" s="300"/>
      <c r="F10" s="300"/>
      <c r="G10" s="300"/>
      <c r="H10" s="300"/>
      <c r="I10" s="301"/>
      <c r="J10" s="305" t="str">
        <f>PassFailMsg</f>
        <v/>
      </c>
      <c r="K10" s="23"/>
      <c r="L10" s="312"/>
      <c r="M10" s="313"/>
      <c r="N10" s="314"/>
      <c r="O10" s="23"/>
      <c r="P10" s="23"/>
      <c r="Q10" s="16"/>
      <c r="R10" s="16"/>
      <c r="S10" s="16"/>
    </row>
    <row r="11" spans="1:20" ht="11.25" customHeight="1">
      <c r="A11" s="302"/>
      <c r="B11" s="303"/>
      <c r="C11" s="303"/>
      <c r="D11" s="303"/>
      <c r="E11" s="303"/>
      <c r="F11" s="303"/>
      <c r="G11" s="303"/>
      <c r="H11" s="303"/>
      <c r="I11" s="304"/>
      <c r="J11" s="306"/>
      <c r="K11" s="17"/>
      <c r="L11" s="315"/>
      <c r="M11" s="316"/>
      <c r="N11" s="317"/>
      <c r="O11" s="17"/>
      <c r="P11" s="17"/>
      <c r="Q11" s="17"/>
      <c r="R11" s="17"/>
      <c r="S11" s="17"/>
    </row>
    <row r="12" spans="1:20">
      <c r="A12" s="18"/>
      <c r="B12" s="18"/>
      <c r="C12" s="18"/>
      <c r="D12" s="18"/>
      <c r="E12" s="4"/>
      <c r="F12" s="17"/>
      <c r="G12" s="17"/>
      <c r="H12" s="17"/>
      <c r="I12" s="17"/>
      <c r="J12" s="17"/>
      <c r="K12" s="17"/>
      <c r="L12" s="17"/>
      <c r="M12" s="17"/>
      <c r="N12" s="17"/>
      <c r="O12" s="17"/>
      <c r="P12" s="17"/>
      <c r="Q12" s="17"/>
      <c r="R12" s="17"/>
      <c r="S12" s="17"/>
    </row>
    <row r="13" spans="1:20">
      <c r="A13" s="27"/>
      <c r="B13" s="13"/>
      <c r="C13" s="28"/>
      <c r="D13" s="29"/>
      <c r="E13" s="4"/>
      <c r="F13" s="17"/>
      <c r="G13" s="17"/>
      <c r="H13" s="17"/>
      <c r="I13" s="17"/>
      <c r="J13" s="17"/>
      <c r="K13" s="17"/>
      <c r="L13" s="17"/>
      <c r="M13" s="17"/>
      <c r="N13" s="17"/>
      <c r="O13" s="17"/>
      <c r="P13" s="17"/>
      <c r="Q13" s="17"/>
      <c r="R13" s="17"/>
      <c r="S13" s="17"/>
    </row>
    <row r="14" spans="1:20">
      <c r="A14" s="4"/>
      <c r="B14" s="4"/>
      <c r="C14" s="4"/>
      <c r="D14" s="4"/>
      <c r="E14" s="4"/>
      <c r="F14" s="17"/>
      <c r="G14" s="17"/>
      <c r="H14" s="17"/>
      <c r="I14" s="17"/>
      <c r="J14" s="17"/>
      <c r="K14" s="17"/>
      <c r="L14" s="17"/>
      <c r="M14" s="17"/>
      <c r="N14" s="17"/>
      <c r="O14" s="17"/>
      <c r="P14" s="17"/>
      <c r="Q14" s="17"/>
      <c r="R14" s="17"/>
      <c r="S14" s="17"/>
    </row>
    <row r="15" spans="1:20">
      <c r="A15" s="18"/>
      <c r="B15" s="18"/>
      <c r="C15" s="18"/>
      <c r="D15" s="18"/>
      <c r="E15" s="4"/>
      <c r="F15" s="17"/>
      <c r="G15" s="17"/>
      <c r="H15" s="17"/>
      <c r="I15" s="17"/>
      <c r="J15" s="17"/>
      <c r="K15" s="17"/>
      <c r="L15" s="17"/>
      <c r="M15" s="17"/>
      <c r="N15" s="17"/>
      <c r="O15" s="17"/>
      <c r="P15" s="17"/>
      <c r="Q15" s="17"/>
      <c r="R15" s="17"/>
      <c r="S15" s="17"/>
    </row>
    <row r="16" spans="1:20">
      <c r="A16" s="27"/>
      <c r="B16" s="4"/>
      <c r="C16" s="26"/>
      <c r="D16" s="30"/>
      <c r="E16" s="4"/>
      <c r="F16" s="17"/>
      <c r="G16" s="17"/>
      <c r="H16" s="17"/>
      <c r="I16" s="17"/>
      <c r="J16" s="17"/>
      <c r="K16" s="17"/>
      <c r="L16" s="17"/>
      <c r="M16" s="17"/>
      <c r="N16" s="17"/>
      <c r="O16" s="17"/>
      <c r="P16" s="17"/>
      <c r="Q16" s="17"/>
      <c r="R16" s="17"/>
      <c r="S16" s="17"/>
    </row>
    <row r="17" spans="1:19">
      <c r="A17" s="27"/>
      <c r="B17" s="4"/>
      <c r="C17" s="26"/>
      <c r="D17" s="30"/>
      <c r="E17" s="4"/>
      <c r="F17" s="17"/>
      <c r="G17" s="17"/>
      <c r="H17" s="17"/>
      <c r="I17" s="17"/>
      <c r="J17" s="17"/>
      <c r="K17" s="17"/>
      <c r="L17" s="17"/>
      <c r="M17" s="17"/>
      <c r="N17" s="17"/>
      <c r="O17" s="17"/>
      <c r="P17" s="17"/>
      <c r="Q17" s="17"/>
      <c r="R17" s="17"/>
      <c r="S17" s="17"/>
    </row>
    <row r="18" spans="1:19">
      <c r="A18" s="4"/>
      <c r="B18" s="4"/>
      <c r="C18" s="4"/>
      <c r="D18" s="4"/>
      <c r="E18" s="4"/>
      <c r="F18" s="17"/>
      <c r="G18" s="17"/>
      <c r="H18" s="17"/>
      <c r="I18" s="17"/>
      <c r="J18" s="17"/>
      <c r="K18" s="17"/>
      <c r="L18" s="17"/>
      <c r="M18" s="17"/>
      <c r="N18" s="17"/>
      <c r="O18" s="17"/>
      <c r="P18" s="17"/>
      <c r="Q18" s="17"/>
      <c r="R18" s="17"/>
      <c r="S18" s="17"/>
    </row>
    <row r="19" spans="1:19">
      <c r="A19" s="4"/>
      <c r="B19" s="4"/>
      <c r="C19" s="4"/>
      <c r="D19" s="4"/>
      <c r="E19" s="4"/>
      <c r="F19" s="17"/>
      <c r="G19" s="17"/>
      <c r="H19" s="17"/>
      <c r="I19" s="17"/>
      <c r="J19" s="17"/>
      <c r="K19" s="17"/>
      <c r="L19" s="17"/>
      <c r="M19" s="17"/>
      <c r="N19" s="17"/>
      <c r="O19" s="17"/>
      <c r="P19" s="17"/>
      <c r="Q19" s="17"/>
      <c r="R19" s="17"/>
      <c r="S19" s="17"/>
    </row>
    <row r="20" spans="1:19">
      <c r="A20" s="17"/>
      <c r="B20" s="17"/>
      <c r="C20" s="17"/>
      <c r="D20" s="17"/>
      <c r="E20" s="17"/>
      <c r="F20" s="17"/>
      <c r="G20" s="17"/>
      <c r="H20" s="17"/>
      <c r="I20" s="17"/>
      <c r="J20" s="17"/>
      <c r="K20" s="17"/>
      <c r="L20" s="17"/>
      <c r="M20" s="17"/>
      <c r="N20" s="17"/>
      <c r="O20" s="17"/>
      <c r="P20" s="17"/>
      <c r="Q20" s="17"/>
      <c r="R20" s="17"/>
      <c r="S20" s="17"/>
    </row>
    <row r="21" spans="1:19">
      <c r="A21" s="17"/>
      <c r="B21" s="17"/>
      <c r="C21" s="17"/>
      <c r="D21" s="17"/>
      <c r="E21" s="17"/>
      <c r="F21" s="17"/>
      <c r="G21" s="17"/>
      <c r="H21" s="17"/>
      <c r="I21" s="17"/>
      <c r="J21" s="17"/>
      <c r="K21" s="17"/>
      <c r="L21" s="17"/>
      <c r="M21" s="17"/>
      <c r="N21" s="17"/>
      <c r="O21" s="17"/>
      <c r="P21" s="17"/>
      <c r="Q21" s="17"/>
      <c r="R21" s="17"/>
      <c r="S21" s="17"/>
    </row>
    <row r="22" spans="1:19">
      <c r="A22" s="17"/>
      <c r="B22" s="17"/>
      <c r="C22" s="17"/>
      <c r="D22" s="17"/>
      <c r="E22" s="17"/>
      <c r="F22" s="17"/>
      <c r="G22" s="17"/>
      <c r="H22" s="17"/>
      <c r="I22" s="17"/>
      <c r="J22" s="17"/>
      <c r="K22" s="17"/>
      <c r="L22" s="17"/>
      <c r="M22" s="17"/>
      <c r="N22" s="17"/>
      <c r="O22" s="17"/>
      <c r="P22" s="17"/>
      <c r="Q22" s="17"/>
      <c r="R22" s="17"/>
      <c r="S22" s="17"/>
    </row>
    <row r="23" spans="1:19">
      <c r="A23" s="17"/>
      <c r="B23" s="17"/>
      <c r="C23" s="17"/>
      <c r="D23" s="17"/>
      <c r="E23" s="17"/>
      <c r="F23" s="17"/>
      <c r="G23" s="17"/>
      <c r="H23" s="17"/>
      <c r="I23" s="17"/>
      <c r="J23" s="17"/>
      <c r="K23" s="17"/>
      <c r="L23" s="17"/>
      <c r="M23" s="17"/>
      <c r="N23" s="17"/>
      <c r="O23" s="17"/>
      <c r="P23" s="17"/>
      <c r="Q23" s="17"/>
      <c r="R23" s="17"/>
      <c r="S23" s="17"/>
    </row>
    <row r="24" spans="1:19">
      <c r="A24" s="17"/>
      <c r="B24" s="17"/>
      <c r="C24" s="17"/>
      <c r="D24" s="17"/>
      <c r="E24" s="17"/>
      <c r="F24" s="17"/>
      <c r="G24" s="17"/>
      <c r="H24" s="17"/>
      <c r="I24" s="17"/>
      <c r="J24" s="17"/>
      <c r="K24" s="17"/>
      <c r="L24" s="17"/>
      <c r="M24" s="17"/>
      <c r="N24" s="17"/>
      <c r="O24" s="17"/>
      <c r="P24" s="17"/>
      <c r="Q24" s="17"/>
      <c r="R24" s="17"/>
      <c r="S24" s="17"/>
    </row>
    <row r="25" spans="1:19">
      <c r="A25" s="17"/>
      <c r="B25" s="17"/>
      <c r="C25" s="17"/>
      <c r="D25" s="17"/>
      <c r="E25" s="17"/>
      <c r="F25" s="17"/>
      <c r="G25" s="17"/>
      <c r="H25" s="17"/>
      <c r="I25" s="17"/>
      <c r="J25" s="17"/>
      <c r="K25" s="17"/>
      <c r="L25" s="17"/>
      <c r="M25" s="17"/>
      <c r="N25" s="17"/>
      <c r="O25" s="17"/>
      <c r="P25" s="17"/>
      <c r="Q25" s="17"/>
      <c r="R25" s="17"/>
      <c r="S25" s="17"/>
    </row>
    <row r="26" spans="1:19">
      <c r="A26" s="17"/>
      <c r="B26" s="17"/>
      <c r="C26" s="17"/>
      <c r="D26" s="17"/>
      <c r="E26" s="17"/>
      <c r="F26" s="17"/>
      <c r="G26" s="17"/>
      <c r="H26" s="17"/>
      <c r="I26" s="17"/>
      <c r="J26" s="17"/>
      <c r="K26" s="17"/>
      <c r="L26" s="17"/>
      <c r="M26" s="17"/>
      <c r="N26" s="17"/>
      <c r="O26" s="17"/>
      <c r="P26" s="17"/>
      <c r="Q26" s="17"/>
      <c r="R26" s="17"/>
      <c r="S26" s="17"/>
    </row>
    <row r="27" spans="1:19">
      <c r="A27" s="17"/>
      <c r="B27" s="17"/>
      <c r="C27" s="17"/>
      <c r="D27" s="17"/>
      <c r="E27" s="17"/>
      <c r="F27" s="17"/>
      <c r="G27" s="17"/>
      <c r="H27" s="17"/>
      <c r="I27" s="17"/>
      <c r="J27" s="17"/>
      <c r="K27" s="17"/>
      <c r="L27" s="17"/>
      <c r="M27" s="17"/>
      <c r="N27" s="17"/>
      <c r="O27" s="17"/>
      <c r="P27" s="17"/>
      <c r="Q27" s="17"/>
      <c r="R27" s="17"/>
      <c r="S27" s="17"/>
    </row>
    <row r="28" spans="1:19">
      <c r="A28" s="17"/>
      <c r="B28" s="17"/>
      <c r="C28" s="17"/>
      <c r="D28" s="17"/>
      <c r="E28" s="17"/>
      <c r="F28" s="17"/>
      <c r="G28" s="17"/>
      <c r="H28" s="17"/>
      <c r="I28" s="17"/>
      <c r="J28" s="17"/>
      <c r="K28" s="17"/>
      <c r="L28" s="17"/>
      <c r="M28" s="17"/>
      <c r="N28" s="17"/>
      <c r="O28" s="17"/>
      <c r="P28" s="17"/>
      <c r="Q28" s="17"/>
      <c r="R28" s="17"/>
      <c r="S28" s="17"/>
    </row>
    <row r="29" spans="1:19">
      <c r="A29" s="17"/>
      <c r="B29" s="17"/>
      <c r="C29" s="17"/>
      <c r="D29" s="17"/>
      <c r="E29" s="17"/>
      <c r="F29" s="17"/>
      <c r="G29" s="17"/>
      <c r="H29" s="17"/>
      <c r="I29" s="17"/>
      <c r="J29" s="17"/>
      <c r="K29" s="17"/>
      <c r="L29" s="17"/>
      <c r="M29" s="17"/>
      <c r="N29" s="17"/>
      <c r="O29" s="17"/>
      <c r="P29" s="17"/>
      <c r="Q29" s="17"/>
      <c r="R29" s="17"/>
      <c r="S29" s="17"/>
    </row>
    <row r="30" spans="1:19">
      <c r="A30" s="17"/>
      <c r="B30" s="17"/>
      <c r="C30" s="17"/>
      <c r="D30" s="17"/>
      <c r="E30" s="17"/>
      <c r="F30" s="17"/>
      <c r="G30" s="17"/>
      <c r="H30" s="17"/>
      <c r="I30" s="17"/>
      <c r="J30" s="17"/>
      <c r="K30" s="17"/>
      <c r="L30" s="17"/>
      <c r="M30" s="17"/>
      <c r="N30" s="17"/>
      <c r="O30" s="17"/>
      <c r="P30" s="17"/>
      <c r="Q30" s="17"/>
      <c r="R30" s="17"/>
      <c r="S30" s="17"/>
    </row>
    <row r="31" spans="1:19">
      <c r="A31" s="17"/>
      <c r="B31" s="17"/>
      <c r="C31" s="17"/>
      <c r="D31" s="17"/>
      <c r="E31" s="17"/>
      <c r="F31" s="17"/>
      <c r="G31" s="17"/>
      <c r="H31" s="17"/>
      <c r="I31" s="17"/>
      <c r="J31" s="17"/>
      <c r="K31" s="17"/>
      <c r="L31" s="17"/>
      <c r="M31" s="17"/>
      <c r="N31" s="17"/>
      <c r="O31" s="17"/>
      <c r="P31" s="17"/>
      <c r="Q31" s="17"/>
      <c r="R31" s="17"/>
      <c r="S31" s="17"/>
    </row>
    <row r="32" spans="1:19">
      <c r="A32" s="17"/>
      <c r="B32" s="17"/>
      <c r="C32" s="17"/>
      <c r="D32" s="17"/>
      <c r="E32" s="17"/>
      <c r="F32" s="17"/>
      <c r="G32" s="17"/>
      <c r="H32" s="17"/>
      <c r="I32" s="17"/>
      <c r="J32" s="17"/>
      <c r="K32" s="17"/>
      <c r="L32" s="17"/>
      <c r="M32" s="17"/>
      <c r="N32" s="17"/>
      <c r="O32" s="17"/>
      <c r="P32" s="17"/>
      <c r="Q32" s="17"/>
      <c r="R32" s="17"/>
      <c r="S32" s="17"/>
    </row>
    <row r="33" spans="1:19">
      <c r="A33" s="17"/>
      <c r="B33" s="17"/>
      <c r="C33" s="17"/>
      <c r="D33" s="17"/>
      <c r="E33" s="17"/>
      <c r="F33" s="17"/>
      <c r="G33" s="17"/>
      <c r="H33" s="17"/>
      <c r="I33" s="17"/>
      <c r="J33" s="17"/>
      <c r="K33" s="17"/>
      <c r="L33" s="17"/>
      <c r="M33" s="17"/>
      <c r="N33" s="17"/>
      <c r="O33" s="17"/>
      <c r="P33" s="17"/>
      <c r="Q33" s="17"/>
      <c r="R33" s="17"/>
      <c r="S33" s="17"/>
    </row>
    <row r="34" spans="1:19">
      <c r="A34" s="17"/>
      <c r="B34" s="17"/>
      <c r="C34" s="17"/>
      <c r="D34" s="17"/>
      <c r="E34" s="17"/>
      <c r="F34" s="17"/>
      <c r="G34" s="17"/>
      <c r="H34" s="17"/>
      <c r="I34" s="17"/>
      <c r="J34" s="17"/>
      <c r="K34" s="17"/>
      <c r="L34" s="17"/>
      <c r="M34" s="17"/>
      <c r="N34" s="17"/>
      <c r="O34" s="17"/>
      <c r="P34" s="17"/>
      <c r="Q34" s="17"/>
      <c r="R34" s="17"/>
      <c r="S34" s="17"/>
    </row>
    <row r="35" spans="1:19">
      <c r="A35" s="17"/>
      <c r="B35" s="17"/>
      <c r="C35" s="17"/>
      <c r="D35" s="17"/>
      <c r="E35" s="17"/>
      <c r="F35" s="17"/>
      <c r="G35" s="17"/>
      <c r="H35" s="17"/>
      <c r="I35" s="17"/>
      <c r="J35" s="17"/>
      <c r="K35" s="17"/>
      <c r="L35" s="17"/>
      <c r="M35" s="17"/>
      <c r="N35" s="17"/>
      <c r="O35" s="17"/>
      <c r="P35" s="17"/>
      <c r="Q35" s="17"/>
      <c r="R35" s="17"/>
      <c r="S35" s="17"/>
    </row>
    <row r="36" spans="1:19">
      <c r="A36" s="17"/>
      <c r="B36" s="17"/>
      <c r="C36" s="17"/>
      <c r="D36" s="17"/>
      <c r="E36" s="17"/>
      <c r="F36" s="17"/>
      <c r="G36" s="17"/>
      <c r="H36" s="17"/>
      <c r="I36" s="17"/>
      <c r="J36" s="17"/>
      <c r="K36" s="17"/>
      <c r="L36" s="17"/>
      <c r="M36" s="17"/>
      <c r="N36" s="17"/>
      <c r="O36" s="17"/>
      <c r="P36" s="17"/>
      <c r="Q36" s="17"/>
      <c r="R36" s="17"/>
      <c r="S36" s="17"/>
    </row>
    <row r="37" spans="1:19">
      <c r="A37" s="17"/>
      <c r="B37" s="17"/>
      <c r="C37" s="17"/>
      <c r="D37" s="17"/>
      <c r="E37" s="17"/>
      <c r="F37" s="17"/>
      <c r="G37" s="17"/>
      <c r="H37" s="17"/>
      <c r="I37" s="17"/>
      <c r="J37" s="17"/>
      <c r="K37" s="17"/>
      <c r="L37" s="17"/>
      <c r="M37" s="17"/>
      <c r="N37" s="17"/>
      <c r="O37" s="17"/>
      <c r="P37" s="17"/>
      <c r="Q37" s="17"/>
      <c r="R37" s="17"/>
      <c r="S37" s="17"/>
    </row>
    <row r="38" spans="1:19">
      <c r="A38" s="17"/>
      <c r="B38" s="17"/>
      <c r="C38" s="17"/>
      <c r="D38" s="17"/>
      <c r="E38" s="17"/>
      <c r="F38" s="17"/>
      <c r="G38" s="17"/>
      <c r="H38" s="17"/>
      <c r="I38" s="17"/>
      <c r="J38" s="17"/>
      <c r="K38" s="17"/>
      <c r="L38" s="17"/>
      <c r="M38" s="17"/>
      <c r="N38" s="17"/>
      <c r="O38" s="17"/>
      <c r="P38" s="17"/>
      <c r="Q38" s="17"/>
      <c r="R38" s="17"/>
      <c r="S38" s="17"/>
    </row>
    <row r="39" spans="1:19">
      <c r="A39" s="17"/>
      <c r="B39" s="17"/>
      <c r="C39" s="17"/>
      <c r="D39" s="17"/>
      <c r="E39" s="17"/>
      <c r="F39" s="17"/>
      <c r="G39" s="17"/>
      <c r="H39" s="17"/>
      <c r="I39" s="17"/>
      <c r="J39" s="17"/>
      <c r="K39" s="17"/>
      <c r="L39" s="17"/>
      <c r="M39" s="17"/>
      <c r="N39" s="17"/>
      <c r="O39" s="17"/>
      <c r="P39" s="17"/>
      <c r="Q39" s="17"/>
      <c r="R39" s="17"/>
      <c r="S39" s="17"/>
    </row>
    <row r="40" spans="1:19">
      <c r="A40" s="17"/>
      <c r="B40" s="17"/>
      <c r="C40" s="17"/>
      <c r="D40" s="17"/>
      <c r="E40" s="17"/>
      <c r="F40" s="17"/>
      <c r="G40" s="17"/>
      <c r="H40" s="17"/>
      <c r="I40" s="17"/>
      <c r="J40" s="17"/>
      <c r="K40" s="17"/>
      <c r="L40" s="17"/>
      <c r="M40" s="17"/>
      <c r="N40" s="17"/>
      <c r="O40" s="17"/>
      <c r="P40" s="17"/>
      <c r="Q40" s="17"/>
      <c r="R40" s="17"/>
      <c r="S40" s="17"/>
    </row>
    <row r="41" spans="1:19">
      <c r="A41" s="17"/>
      <c r="B41" s="17"/>
      <c r="C41" s="17"/>
      <c r="D41" s="17"/>
      <c r="E41" s="17"/>
      <c r="F41" s="17"/>
      <c r="G41" s="17"/>
      <c r="H41" s="17"/>
      <c r="I41" s="17"/>
      <c r="J41" s="17"/>
      <c r="K41" s="17"/>
      <c r="L41" s="17"/>
      <c r="M41" s="17"/>
      <c r="N41" s="17"/>
      <c r="O41" s="17"/>
      <c r="P41" s="17"/>
      <c r="Q41" s="17"/>
      <c r="R41" s="17"/>
      <c r="S41" s="17"/>
    </row>
    <row r="42" spans="1:19">
      <c r="A42" s="17"/>
      <c r="B42" s="17"/>
      <c r="C42" s="17"/>
      <c r="D42" s="17"/>
      <c r="E42" s="17"/>
      <c r="F42" s="17"/>
      <c r="G42" s="17"/>
      <c r="H42" s="17"/>
      <c r="I42" s="17"/>
      <c r="J42" s="17"/>
      <c r="K42" s="17"/>
      <c r="L42" s="17"/>
      <c r="M42" s="17"/>
      <c r="N42" s="17"/>
      <c r="O42" s="17"/>
      <c r="P42" s="17"/>
      <c r="Q42" s="17"/>
      <c r="R42" s="17"/>
      <c r="S42" s="17"/>
    </row>
    <row r="43" spans="1:19">
      <c r="A43" s="17"/>
      <c r="B43" s="17"/>
      <c r="C43" s="17"/>
      <c r="D43" s="17"/>
      <c r="E43" s="17"/>
      <c r="F43" s="17"/>
      <c r="G43" s="17"/>
      <c r="H43" s="17"/>
      <c r="I43" s="17"/>
      <c r="J43" s="17"/>
      <c r="K43" s="17"/>
      <c r="L43" s="17"/>
      <c r="M43" s="17"/>
      <c r="N43" s="17"/>
      <c r="O43" s="17"/>
      <c r="P43" s="17"/>
      <c r="Q43" s="17"/>
      <c r="R43" s="17"/>
      <c r="S43" s="17"/>
    </row>
    <row r="44" spans="1:19">
      <c r="A44" s="17"/>
      <c r="B44" s="17"/>
      <c r="C44" s="17"/>
      <c r="D44" s="17"/>
      <c r="E44" s="17"/>
      <c r="F44" s="17"/>
      <c r="G44" s="17"/>
      <c r="H44" s="17"/>
      <c r="I44" s="17"/>
      <c r="J44" s="17"/>
      <c r="K44" s="17"/>
      <c r="L44" s="17"/>
      <c r="M44" s="17"/>
      <c r="N44" s="17"/>
      <c r="O44" s="17"/>
      <c r="P44" s="17"/>
      <c r="Q44" s="17"/>
      <c r="R44" s="17"/>
      <c r="S44" s="17"/>
    </row>
    <row r="45" spans="1:19">
      <c r="A45" s="17"/>
      <c r="B45" s="17"/>
      <c r="C45" s="17"/>
      <c r="D45" s="17"/>
      <c r="E45" s="17"/>
      <c r="F45" s="17"/>
      <c r="G45" s="17"/>
      <c r="H45" s="17"/>
      <c r="I45" s="17"/>
      <c r="J45" s="17"/>
      <c r="K45" s="17"/>
      <c r="L45" s="17"/>
      <c r="M45" s="17"/>
      <c r="N45" s="17"/>
      <c r="O45" s="17"/>
      <c r="P45" s="17"/>
      <c r="Q45" s="17"/>
      <c r="R45" s="17"/>
      <c r="S45" s="17"/>
    </row>
    <row r="46" spans="1:19">
      <c r="A46" s="17"/>
      <c r="B46" s="17"/>
      <c r="C46" s="17"/>
      <c r="D46" s="17"/>
      <c r="E46" s="17"/>
      <c r="F46" s="17"/>
      <c r="G46" s="17"/>
      <c r="H46" s="17"/>
      <c r="I46" s="17"/>
      <c r="J46" s="17"/>
      <c r="K46" s="17"/>
      <c r="L46" s="17"/>
      <c r="M46" s="17"/>
      <c r="N46" s="17"/>
      <c r="O46" s="17"/>
      <c r="P46" s="17"/>
      <c r="Q46" s="17"/>
      <c r="R46" s="17"/>
      <c r="S46" s="17"/>
    </row>
    <row r="47" spans="1:19">
      <c r="A47" s="17"/>
      <c r="B47" s="17"/>
      <c r="C47" s="17"/>
      <c r="D47" s="17"/>
      <c r="E47" s="17"/>
      <c r="F47" s="17"/>
      <c r="G47" s="17"/>
      <c r="H47" s="17"/>
      <c r="I47" s="17"/>
      <c r="J47" s="17"/>
      <c r="K47" s="17"/>
      <c r="L47" s="17"/>
      <c r="M47" s="17"/>
      <c r="N47" s="17"/>
      <c r="O47" s="17"/>
      <c r="P47" s="17"/>
      <c r="Q47" s="17"/>
      <c r="R47" s="17"/>
      <c r="S47" s="17"/>
    </row>
    <row r="48" spans="1:19">
      <c r="A48" s="17"/>
      <c r="B48" s="17"/>
      <c r="C48" s="17"/>
      <c r="D48" s="17"/>
      <c r="E48" s="17"/>
      <c r="F48" s="17"/>
      <c r="G48" s="17"/>
      <c r="H48" s="17"/>
      <c r="I48" s="17"/>
      <c r="J48" s="17"/>
      <c r="K48" s="17"/>
      <c r="L48" s="17"/>
      <c r="M48" s="17"/>
      <c r="N48" s="17"/>
      <c r="O48" s="17"/>
      <c r="P48" s="17"/>
      <c r="Q48" s="17"/>
      <c r="R48" s="17"/>
      <c r="S48" s="17"/>
    </row>
    <row r="49" spans="1:19">
      <c r="A49" s="17"/>
      <c r="B49" s="17"/>
      <c r="C49" s="17"/>
      <c r="D49" s="17"/>
      <c r="E49" s="17"/>
      <c r="F49" s="17"/>
      <c r="G49" s="17"/>
      <c r="H49" s="17"/>
      <c r="I49" s="17"/>
      <c r="J49" s="17"/>
      <c r="K49" s="17"/>
      <c r="L49" s="17"/>
      <c r="M49" s="17"/>
      <c r="N49" s="17"/>
      <c r="O49" s="17"/>
      <c r="P49" s="17"/>
      <c r="Q49" s="17"/>
      <c r="R49" s="17"/>
      <c r="S49" s="17"/>
    </row>
    <row r="50" spans="1:19">
      <c r="A50" s="17"/>
      <c r="B50" s="17"/>
      <c r="C50" s="17"/>
      <c r="D50" s="17"/>
      <c r="E50" s="17"/>
      <c r="F50" s="17"/>
      <c r="G50" s="17"/>
      <c r="H50" s="17"/>
      <c r="I50" s="17"/>
      <c r="J50" s="17"/>
      <c r="K50" s="17"/>
      <c r="L50" s="17"/>
      <c r="M50" s="17"/>
      <c r="N50" s="17"/>
      <c r="O50" s="17"/>
      <c r="P50" s="17"/>
      <c r="Q50" s="17"/>
      <c r="R50" s="17"/>
      <c r="S50" s="17"/>
    </row>
    <row r="51" spans="1:19">
      <c r="A51" s="17"/>
      <c r="B51" s="17"/>
      <c r="C51" s="17"/>
      <c r="D51" s="17"/>
      <c r="E51" s="17"/>
      <c r="F51" s="17"/>
      <c r="G51" s="17"/>
      <c r="H51" s="17"/>
      <c r="I51" s="17"/>
      <c r="J51" s="17"/>
      <c r="K51" s="17"/>
      <c r="L51" s="17"/>
      <c r="M51" s="17"/>
      <c r="N51" s="17"/>
      <c r="O51" s="17"/>
      <c r="P51" s="17"/>
      <c r="Q51" s="17"/>
      <c r="R51" s="17"/>
      <c r="S51" s="17"/>
    </row>
    <row r="52" spans="1:19">
      <c r="A52" s="17"/>
      <c r="B52" s="17"/>
      <c r="C52" s="17"/>
      <c r="D52" s="17"/>
      <c r="E52" s="17"/>
      <c r="F52" s="17"/>
      <c r="G52" s="17"/>
      <c r="H52" s="17"/>
      <c r="I52" s="17"/>
      <c r="J52" s="17"/>
      <c r="K52" s="17"/>
      <c r="L52" s="17"/>
      <c r="M52" s="17"/>
      <c r="N52" s="17"/>
      <c r="O52" s="17"/>
      <c r="P52" s="17"/>
      <c r="Q52" s="17"/>
      <c r="R52" s="17"/>
      <c r="S52" s="17"/>
    </row>
    <row r="53" spans="1:19">
      <c r="A53" s="17"/>
      <c r="B53" s="17"/>
      <c r="C53" s="17"/>
      <c r="D53" s="17"/>
      <c r="E53" s="17"/>
      <c r="F53" s="17"/>
      <c r="G53" s="17"/>
      <c r="H53" s="17"/>
      <c r="I53" s="17"/>
      <c r="J53" s="17"/>
      <c r="K53" s="17"/>
      <c r="L53" s="17"/>
      <c r="M53" s="17"/>
      <c r="N53" s="17"/>
      <c r="O53" s="17"/>
      <c r="P53" s="17"/>
      <c r="Q53" s="17"/>
      <c r="R53" s="17"/>
      <c r="S53" s="17"/>
    </row>
    <row r="54" spans="1:19">
      <c r="A54" s="17"/>
      <c r="B54" s="17"/>
      <c r="C54" s="17"/>
      <c r="D54" s="17"/>
      <c r="E54" s="17"/>
      <c r="F54" s="17"/>
      <c r="G54" s="17"/>
      <c r="H54" s="17"/>
      <c r="I54" s="17"/>
      <c r="J54" s="17"/>
      <c r="K54" s="17"/>
      <c r="L54" s="17"/>
      <c r="M54" s="17"/>
      <c r="N54" s="17"/>
      <c r="O54" s="17"/>
      <c r="P54" s="17"/>
      <c r="Q54" s="17"/>
      <c r="R54" s="17"/>
      <c r="S54" s="17"/>
    </row>
    <row r="55" spans="1:19">
      <c r="A55" s="17"/>
      <c r="B55" s="17"/>
      <c r="C55" s="17"/>
      <c r="D55" s="17"/>
      <c r="E55" s="17"/>
      <c r="F55" s="17"/>
      <c r="G55" s="17"/>
      <c r="H55" s="17"/>
      <c r="I55" s="17"/>
      <c r="J55" s="17"/>
      <c r="K55" s="17"/>
      <c r="L55" s="17"/>
      <c r="M55" s="17"/>
      <c r="N55" s="17"/>
      <c r="O55" s="17"/>
      <c r="P55" s="17"/>
      <c r="Q55" s="17"/>
      <c r="R55" s="17"/>
      <c r="S55" s="17"/>
    </row>
    <row r="56" spans="1:19">
      <c r="A56" s="17"/>
      <c r="B56" s="17"/>
      <c r="C56" s="17"/>
      <c r="D56" s="17"/>
      <c r="E56" s="17"/>
      <c r="F56" s="17"/>
      <c r="G56" s="17"/>
      <c r="H56" s="17"/>
      <c r="I56" s="17"/>
      <c r="J56" s="17"/>
      <c r="K56" s="17"/>
      <c r="L56" s="17"/>
      <c r="M56" s="17"/>
      <c r="N56" s="17"/>
      <c r="O56" s="17"/>
      <c r="P56" s="17"/>
      <c r="Q56" s="17"/>
      <c r="R56" s="17"/>
      <c r="S56" s="17"/>
    </row>
    <row r="57" spans="1:19">
      <c r="A57" s="17"/>
      <c r="B57" s="17"/>
      <c r="C57" s="17"/>
      <c r="D57" s="17"/>
      <c r="E57" s="17"/>
      <c r="F57" s="17"/>
      <c r="G57" s="17"/>
      <c r="H57" s="17"/>
      <c r="I57" s="17"/>
      <c r="J57" s="17"/>
      <c r="K57" s="17"/>
      <c r="L57" s="17"/>
      <c r="M57" s="17"/>
      <c r="N57" s="17"/>
      <c r="O57" s="17"/>
      <c r="P57" s="17"/>
      <c r="Q57" s="17"/>
      <c r="R57" s="17"/>
      <c r="S57" s="17"/>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135" spans="1:3">
      <c r="A135" s="1" t="s">
        <v>9</v>
      </c>
    </row>
    <row r="136" spans="1:3">
      <c r="C136" s="2">
        <v>1.46738701E-2</v>
      </c>
    </row>
  </sheetData>
  <sheetProtection sheet="1" objects="1" scenarios="1" selectLockedCells="1"/>
  <mergeCells count="4">
    <mergeCell ref="A10:I11"/>
    <mergeCell ref="J10:J11"/>
    <mergeCell ref="L5:N6"/>
    <mergeCell ref="L8:N11"/>
  </mergeCells>
  <phoneticPr fontId="5"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controls>
    <mc:AlternateContent xmlns:mc="http://schemas.openxmlformats.org/markup-compatibility/2006">
      <mc:Choice Requires="x14">
        <control shapeId="51296" r:id="rId4" name="MeasureButton">
          <controlPr defaultSize="0" print="0" autoLine="0" r:id="rId5">
            <anchor>
              <from>
                <xdr:col>1</xdr:col>
                <xdr:colOff>571500</xdr:colOff>
                <xdr:row>0</xdr:row>
                <xdr:rowOff>38100</xdr:rowOff>
              </from>
              <to>
                <xdr:col>3</xdr:col>
                <xdr:colOff>161925</xdr:colOff>
                <xdr:row>2</xdr:row>
                <xdr:rowOff>152400</xdr:rowOff>
              </to>
            </anchor>
          </controlPr>
        </control>
      </mc:Choice>
      <mc:Fallback>
        <control shapeId="51296" r:id="rId4" name="MeasureButton"/>
      </mc:Fallback>
    </mc:AlternateContent>
    <mc:AlternateContent xmlns:mc="http://schemas.openxmlformats.org/markup-compatibility/2006">
      <mc:Choice Requires="x14">
        <control shapeId="51295" r:id="rId6" name="ZeroInstrumentButton">
          <controlPr defaultSize="0" print="0" autoLine="0" r:id="rId7">
            <anchor>
              <from>
                <xdr:col>0</xdr:col>
                <xdr:colOff>47625</xdr:colOff>
                <xdr:row>0</xdr:row>
                <xdr:rowOff>38100</xdr:rowOff>
              </from>
              <to>
                <xdr:col>1</xdr:col>
                <xdr:colOff>542925</xdr:colOff>
                <xdr:row>2</xdr:row>
                <xdr:rowOff>152400</xdr:rowOff>
              </to>
            </anchor>
          </controlPr>
        </control>
      </mc:Choice>
      <mc:Fallback>
        <control shapeId="51295" r:id="rId6" name="ZeroInstrumentButton"/>
      </mc:Fallback>
    </mc:AlternateContent>
    <mc:AlternateContent xmlns:mc="http://schemas.openxmlformats.org/markup-compatibility/2006">
      <mc:Choice Requires="x14">
        <control shapeId="51298" r:id="rId8" name="LogToSummaryButton">
          <controlPr defaultSize="0" print="0" autoLine="0" r:id="rId9">
            <anchor>
              <from>
                <xdr:col>3</xdr:col>
                <xdr:colOff>190500</xdr:colOff>
                <xdr:row>0</xdr:row>
                <xdr:rowOff>38100</xdr:rowOff>
              </from>
              <to>
                <xdr:col>4</xdr:col>
                <xdr:colOff>847725</xdr:colOff>
                <xdr:row>2</xdr:row>
                <xdr:rowOff>152400</xdr:rowOff>
              </to>
            </anchor>
          </controlPr>
        </control>
      </mc:Choice>
      <mc:Fallback>
        <control shapeId="51298" r:id="rId8" name="LogToSummaryButton"/>
      </mc:Fallback>
    </mc:AlternateContent>
    <mc:AlternateContent xmlns:mc="http://schemas.openxmlformats.org/markup-compatibility/2006">
      <mc:Choice Requires="x14">
        <control shapeId="51301" r:id="rId10" name="SaveGraphtoTextButton">
          <controlPr defaultSize="0" print="0" autoLine="0" r:id="rId11">
            <anchor>
              <from>
                <xdr:col>4</xdr:col>
                <xdr:colOff>876300</xdr:colOff>
                <xdr:row>0</xdr:row>
                <xdr:rowOff>38100</xdr:rowOff>
              </from>
              <to>
                <xdr:col>6</xdr:col>
                <xdr:colOff>695325</xdr:colOff>
                <xdr:row>2</xdr:row>
                <xdr:rowOff>152400</xdr:rowOff>
              </to>
            </anchor>
          </controlPr>
        </control>
      </mc:Choice>
      <mc:Fallback>
        <control shapeId="51301" r:id="rId10" name="SaveGraphtoTextButton"/>
      </mc:Fallback>
    </mc:AlternateContent>
    <mc:AlternateContent xmlns:mc="http://schemas.openxmlformats.org/markup-compatibility/2006">
      <mc:Choice Requires="x14">
        <control shapeId="51315" r:id="rId12" name="GenerateReportButton">
          <controlPr defaultSize="0" print="0" autoLine="0" r:id="rId13">
            <anchor>
              <from>
                <xdr:col>6</xdr:col>
                <xdr:colOff>714375</xdr:colOff>
                <xdr:row>0</xdr:row>
                <xdr:rowOff>28575</xdr:rowOff>
              </from>
              <to>
                <xdr:col>8</xdr:col>
                <xdr:colOff>285750</xdr:colOff>
                <xdr:row>2</xdr:row>
                <xdr:rowOff>142875</xdr:rowOff>
              </to>
            </anchor>
          </controlPr>
        </control>
      </mc:Choice>
      <mc:Fallback>
        <control shapeId="51315" r:id="rId12" name="GenerateReportButton"/>
      </mc:Fallback>
    </mc:AlternateContent>
    <mc:AlternateContent xmlns:mc="http://schemas.openxmlformats.org/markup-compatibility/2006">
      <mc:Choice Requires="x14">
        <control shapeId="51299" r:id="rId1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1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controls>
  <webPublishItems count="1">
    <webPublishItem id="5403" divId="QSS2PC99f_5403" sourceType="sheet" destinationFile="C:\Stu\Consulting\New XL Files\PCfiles\Page.htm"/>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508"/>
  <sheetViews>
    <sheetView zoomScale="85" zoomScaleNormal="85" workbookViewId="0">
      <selection activeCell="A8" sqref="A8:C317"/>
    </sheetView>
  </sheetViews>
  <sheetFormatPr defaultColWidth="11.42578125" defaultRowHeight="12.75"/>
  <cols>
    <col min="1" max="1" width="11.7109375" style="41" customWidth="1"/>
    <col min="2" max="2" width="13.85546875" style="41" customWidth="1"/>
    <col min="3" max="3" width="12" style="41" customWidth="1"/>
    <col min="4" max="4" width="11" style="41" customWidth="1"/>
    <col min="5" max="5" width="11.85546875" style="41" customWidth="1"/>
    <col min="6" max="6" width="13.42578125" style="41" customWidth="1"/>
    <col min="7" max="7" width="12" style="41" customWidth="1"/>
    <col min="8" max="8" width="13.85546875" style="41" customWidth="1"/>
    <col min="9" max="9" width="14" style="41" customWidth="1"/>
    <col min="10" max="10" width="14.5703125" style="41" customWidth="1"/>
    <col min="11" max="11" width="13.85546875" style="41" customWidth="1"/>
    <col min="12" max="12" width="14.5703125" style="41" customWidth="1"/>
    <col min="13" max="13" width="13.7109375" style="41" customWidth="1"/>
    <col min="14" max="14" width="13.28515625" style="41" customWidth="1"/>
    <col min="15" max="15" width="14.5703125" style="41" customWidth="1"/>
    <col min="16" max="16" width="12.85546875" style="41" customWidth="1"/>
    <col min="17" max="17" width="15.7109375" style="41" customWidth="1"/>
    <col min="18" max="18" width="13.42578125" style="41" customWidth="1"/>
    <col min="19" max="19" width="14" style="41" customWidth="1"/>
    <col min="20" max="20" width="15.42578125" style="41" customWidth="1"/>
    <col min="21" max="21" width="16.85546875" style="41" customWidth="1"/>
    <col min="22" max="22" width="15.5703125" style="41" customWidth="1"/>
    <col min="23" max="23" width="15.140625" style="41" customWidth="1"/>
    <col min="24" max="24" width="13.7109375" style="41" customWidth="1"/>
    <col min="25" max="25" width="11.7109375" style="41" customWidth="1"/>
    <col min="26" max="26" width="11" style="41" customWidth="1"/>
    <col min="27" max="27" width="10.5703125" style="41" customWidth="1"/>
    <col min="28" max="28" width="14.85546875" style="41" customWidth="1"/>
    <col min="29" max="29" width="10.42578125" style="41" customWidth="1"/>
    <col min="30" max="30" width="13" style="41" bestFit="1" customWidth="1"/>
    <col min="31" max="33" width="11.42578125" style="41"/>
    <col min="34" max="34" width="13" style="41" bestFit="1" customWidth="1"/>
    <col min="35" max="16384" width="11.42578125" style="41"/>
  </cols>
  <sheetData>
    <row r="1" spans="1:29" ht="19.5" customHeight="1">
      <c r="A1" s="61" t="s">
        <v>161</v>
      </c>
      <c r="B1" s="46"/>
      <c r="C1" s="46"/>
      <c r="D1" s="46"/>
      <c r="E1" s="46"/>
      <c r="F1" s="52"/>
      <c r="G1" s="68"/>
      <c r="H1" s="46"/>
      <c r="J1" s="98" t="s">
        <v>192</v>
      </c>
      <c r="K1" s="100" t="s">
        <v>36</v>
      </c>
      <c r="L1" s="101" t="s">
        <v>194</v>
      </c>
      <c r="M1" s="318" t="e">
        <f>"Lifetime = "&amp;K2&amp;" "&amp;L1&amp;" @ "&amp;J2&amp;" "&amp;L2</f>
        <v>#DIV/0!</v>
      </c>
      <c r="N1" s="318"/>
      <c r="O1" s="318"/>
      <c r="P1" s="98"/>
      <c r="Q1" s="197" t="s">
        <v>267</v>
      </c>
      <c r="R1" s="222" t="str">
        <f>IF(MAX(C9:C133)&gt;0.6,"  Saturated Reference Cell  - Data for MCD&gt; "&amp;J4&amp; " not valid ","")</f>
        <v/>
      </c>
      <c r="S1" s="38" t="s">
        <v>156</v>
      </c>
      <c r="T1" s="263" t="str">
        <f>IF(AND(PCRefRatio&gt;1000,AnalysisMode&lt;&gt;"Transient"),"Recommended Analysis Mode is Transient for this sample",IF(AND(PCRefRatio&lt;1000,AnalysisMode="Transient"),"Recommended Analysis Mode is Generalized for this sample",""))</f>
        <v/>
      </c>
      <c r="U1" s="46"/>
      <c r="V1" s="46"/>
      <c r="W1" s="38"/>
      <c r="X1" s="38"/>
      <c r="Y1" s="38"/>
      <c r="Z1" s="38"/>
    </row>
    <row r="2" spans="1:29" ht="14.25">
      <c r="A2" s="197" t="s">
        <v>346</v>
      </c>
      <c r="B2" s="33"/>
      <c r="C2" s="32"/>
      <c r="D2" s="33"/>
      <c r="E2" s="96" t="s">
        <v>15</v>
      </c>
      <c r="F2" s="89">
        <v>41593</v>
      </c>
      <c r="G2" s="38"/>
      <c r="H2" s="50"/>
      <c r="I2" s="98" t="s">
        <v>191</v>
      </c>
      <c r="J2" s="50" t="str">
        <f>TEXT(SpecMCD,"0.0E+00")</f>
        <v>1.0E+15</v>
      </c>
      <c r="K2" s="38" t="e">
        <f>TEXT(MeasuredLifetime,"0.00")</f>
        <v>#DIV/0!</v>
      </c>
      <c r="L2" s="99" t="s">
        <v>193</v>
      </c>
      <c r="M2" s="38"/>
      <c r="N2" s="50"/>
      <c r="O2" s="38"/>
      <c r="P2" s="33"/>
      <c r="Q2" s="198" t="s">
        <v>268</v>
      </c>
      <c r="R2" s="222" t="str">
        <f>IF(OR(SpecMCD&gt;MaxApparentCD,SpecMCD&lt;MinApparentCD),"  Choose Specificed MCD within Data, Min MCD &lt; Spec MCD &lt; Max MCD","")</f>
        <v xml:space="preserve">  Choose Specificed MCD within Data, Min MCD &lt; Spec MCD &lt; Max MCD</v>
      </c>
      <c r="S2" s="38" t="s">
        <v>414</v>
      </c>
      <c r="T2" s="263" t="str">
        <f>IF(OR(InputRangeType&lt;&gt;SampleType,SampleNameCoverSheet&lt;&gt;SampleNameUserSheet,InputRangeOptConst&lt;&gt;OptConst,InputRangeMCD&lt;&gt;SpecMCD,InputRangeMode&lt;&gt;AnalysisMode,InputRangePC&lt;&gt;PCRange,InputRangeRef&lt;&gt;RefRange,InputRangeFit&lt;&gt;Fit_Range,InputRangeAvg&lt;&gt;NumFlashesInitial),"Input values must be updated, Click the Update button above","")</f>
        <v>Input values must be updated, Click the Update button above</v>
      </c>
      <c r="U2" s="46"/>
      <c r="V2" s="46"/>
      <c r="W2" s="254"/>
      <c r="X2" s="254"/>
      <c r="Y2" s="254"/>
      <c r="Z2" s="254"/>
    </row>
    <row r="3" spans="1:29">
      <c r="A3" s="68"/>
      <c r="B3" s="69"/>
      <c r="C3" s="46"/>
      <c r="D3" s="46"/>
      <c r="E3" s="97" t="s">
        <v>19</v>
      </c>
      <c r="F3" s="90">
        <v>0.46937500000000004</v>
      </c>
      <c r="G3" s="38"/>
      <c r="H3" s="38"/>
      <c r="I3" s="99"/>
      <c r="J3" s="98" t="s">
        <v>284</v>
      </c>
      <c r="K3" s="38"/>
      <c r="L3" s="50"/>
      <c r="M3" s="38"/>
      <c r="N3" s="50"/>
      <c r="O3" s="38"/>
      <c r="P3" s="70"/>
      <c r="Q3" s="199" t="s">
        <v>269</v>
      </c>
      <c r="R3" s="222" t="str">
        <f>IF(BiasLight=0,"",IF(MAX(M9:M133)=0,"  Choose Bias Light within data  ",""))</f>
        <v/>
      </c>
      <c r="S3" s="38"/>
      <c r="T3" s="46"/>
      <c r="U3" s="46"/>
      <c r="V3" s="46"/>
      <c r="W3" s="254"/>
      <c r="X3" s="254"/>
      <c r="Y3" s="254"/>
      <c r="Z3" s="254"/>
    </row>
    <row r="4" spans="1:29" ht="15.75" customHeight="1">
      <c r="A4" s="52"/>
      <c r="B4" s="46"/>
      <c r="C4" s="38"/>
      <c r="D4" s="52"/>
      <c r="E4" s="38"/>
      <c r="F4" s="46"/>
      <c r="G4" s="38"/>
      <c r="H4" s="38"/>
      <c r="I4" s="38"/>
      <c r="J4" s="46" t="str">
        <f>TEXT(AC6,"0.0E+00")</f>
        <v>0.0E+00</v>
      </c>
      <c r="K4" s="46"/>
      <c r="L4" s="32"/>
      <c r="M4" s="38"/>
      <c r="N4" s="33"/>
      <c r="O4" s="99"/>
      <c r="P4" s="52"/>
      <c r="Q4" s="197" t="s">
        <v>164</v>
      </c>
      <c r="R4" s="223" t="str">
        <f ca="1">IF(OR(Air_Voltage&lt;-0.95,Air_Voltage&gt;-0.5,(NOW()-ZeroInstTime)&gt;0.5,AirVStdev&gt;0.01),"  Remove Sample From Stage and Re-Zero Instrument  ","")</f>
        <v/>
      </c>
      <c r="S4" s="50"/>
      <c r="T4" s="50"/>
      <c r="U4" s="52"/>
      <c r="V4" s="46"/>
      <c r="W4" s="71"/>
      <c r="X4" s="38"/>
      <c r="Y4" s="38"/>
      <c r="Z4" s="38"/>
    </row>
    <row r="5" spans="1:29" ht="43.5" customHeight="1">
      <c r="A5" s="261" t="s">
        <v>174</v>
      </c>
      <c r="B5" s="92" t="s">
        <v>175</v>
      </c>
      <c r="C5" s="92" t="s">
        <v>412</v>
      </c>
      <c r="D5" s="92" t="s">
        <v>16</v>
      </c>
      <c r="E5" s="92" t="s">
        <v>377</v>
      </c>
      <c r="F5" s="92" t="s">
        <v>31</v>
      </c>
      <c r="G5" s="92" t="s">
        <v>184</v>
      </c>
      <c r="H5" s="92" t="s">
        <v>185</v>
      </c>
      <c r="I5" s="92" t="s">
        <v>187</v>
      </c>
      <c r="J5" s="92" t="s">
        <v>183</v>
      </c>
      <c r="K5" s="93" t="s">
        <v>186</v>
      </c>
      <c r="L5" s="93" t="s">
        <v>188</v>
      </c>
      <c r="M5" s="92" t="s">
        <v>3</v>
      </c>
      <c r="N5" s="92" t="s">
        <v>17</v>
      </c>
      <c r="O5" s="92" t="s">
        <v>189</v>
      </c>
      <c r="P5" s="92" t="s">
        <v>178</v>
      </c>
      <c r="Q5" s="92" t="s">
        <v>179</v>
      </c>
      <c r="R5" s="92" t="s">
        <v>383</v>
      </c>
      <c r="S5" s="92" t="s">
        <v>384</v>
      </c>
      <c r="T5" s="92" t="s">
        <v>355</v>
      </c>
      <c r="U5" s="93" t="s">
        <v>356</v>
      </c>
      <c r="V5" s="92" t="s">
        <v>352</v>
      </c>
      <c r="W5" s="92" t="s">
        <v>353</v>
      </c>
      <c r="X5" s="92" t="s">
        <v>354</v>
      </c>
      <c r="Y5" s="92" t="s">
        <v>385</v>
      </c>
      <c r="Z5" s="93" t="s">
        <v>417</v>
      </c>
      <c r="AA5" s="92" t="s">
        <v>18</v>
      </c>
      <c r="AB5" s="92" t="s">
        <v>190</v>
      </c>
      <c r="AC5" s="262" t="s">
        <v>282</v>
      </c>
    </row>
    <row r="6" spans="1:29">
      <c r="A6" s="175">
        <f>B166</f>
        <v>0.12689600000000001</v>
      </c>
      <c r="B6" s="80">
        <f>CalcDarkSheetResistance(Dark_Voltage,A_cal,B_cal,C_cal)</f>
        <v>31.800500430077275</v>
      </c>
      <c r="C6" s="81">
        <f>SheetResistance*Thickness</f>
        <v>1.6949666729231188</v>
      </c>
      <c r="D6" s="82">
        <f>calcdoping(InputResistivity,SampleType)</f>
        <v>44279440842219.18</v>
      </c>
      <c r="E6" s="255">
        <f>SUMSQ(B9:B133)/SUMSQ(C9:C133)</f>
        <v>0.23273272078269799</v>
      </c>
      <c r="F6" s="80">
        <f>MAX(E9:E133)</f>
        <v>45.613937178948596</v>
      </c>
      <c r="G6" s="83">
        <f>SpecMCD*(1-Fit_Range)</f>
        <v>700000000000000</v>
      </c>
      <c r="H6" s="83">
        <f>SpecMCD*(1+Fit_Range)</f>
        <v>1300000000000000</v>
      </c>
      <c r="I6" s="84">
        <f>MIN($I$14:$I$133)</f>
        <v>100000</v>
      </c>
      <c r="J6" s="83">
        <f>MAX($I$9:$I$132)</f>
        <v>628980003383610.12</v>
      </c>
      <c r="K6" s="84">
        <f>LOOKUP(2,1/(I9:I133=MaxApparentCD),A9:A133)</f>
        <v>3.8390000000000001E-4</v>
      </c>
      <c r="L6" s="84">
        <f>LOOKUP(2,1/(I9:I133=MaxApparentCD),H9:H133)</f>
        <v>9.5279411406029718E-3</v>
      </c>
      <c r="M6" s="83">
        <f>IF(BiasLight=0,0,INTERCEPT($N18:$N130,$M18:$M130)+BiasLight*SLOPE($N18:$N130,$M18:$M130))</f>
        <v>0</v>
      </c>
      <c r="N6" s="83" t="e">
        <f>BiasPtCD-(BiasLight*0.038*OptConst)*MeasuredLifetimeAuger*0.000001/(1.6E-19*Thickness)</f>
        <v>#DIV/0!</v>
      </c>
      <c r="O6" s="84" t="e">
        <f>SpecMCD-Traps</f>
        <v>#DIV/0!</v>
      </c>
      <c r="P6" s="215">
        <f>IF(MAX(R10:R131)=0,0,SLOPE(R10:R131,J10:J131))</f>
        <v>0</v>
      </c>
      <c r="Q6" s="80">
        <f>IF(MAX(R10:R131)=0,0,INTERCEPT(R10:R130,J10:J130))</f>
        <v>0</v>
      </c>
      <c r="R6" s="215" t="e">
        <f>IF(MaxSuns&gt;0.1,1000000*1/(Q6+(SpecMCD)*P6),0)</f>
        <v>#DIV/0!</v>
      </c>
      <c r="S6" s="215" t="e">
        <f>R6/1000000</f>
        <v>#DIV/0!</v>
      </c>
      <c r="T6" s="86">
        <f>IF(MAX(T10:T131)=0,0,SLOPE(T10:T131,J10:J131))</f>
        <v>0</v>
      </c>
      <c r="U6" s="215">
        <f>IF(MAX(T10:T131)=0,0,INTERCEPT(T10:T130,J10:J130))</f>
        <v>0</v>
      </c>
      <c r="V6" s="249" t="e">
        <f>IF(MaxSuns&gt;0.1,1000000*1/(FitInterceptAuger+(SpecMCD)*FitSlopeAuger),0)</f>
        <v>#DIV/0!</v>
      </c>
      <c r="W6" s="84" t="e">
        <f>MeasuredLifetimeAuger/1000000</f>
        <v>#DIV/0!</v>
      </c>
      <c r="X6" s="84" t="e">
        <f>IF(MeasuredLifetimeAuger&gt;0,1000000/MeasuredLifetimeAuger,0)</f>
        <v>#DIV/0!</v>
      </c>
      <c r="Y6" s="87" t="e">
        <f>IF(MaxSuns&gt;0.1,1000000/(FitInterceptAuger-(FitSlopeAuger*(SampleDoping-Traps))),0)</f>
        <v>#DIV/0!</v>
      </c>
      <c r="Z6" s="215" t="e">
        <f>IF(AugerModel="Richter",SLOPE(W10:W131,J10:J131),"")</f>
        <v>#DIV/0!</v>
      </c>
      <c r="AA6" s="86" t="e">
        <f>IF(AugerModel="Sinton",calcjo(FitSlopeAuger,Thickness),calcJoRichter(Thickness,Z6))</f>
        <v>#VALUE!</v>
      </c>
      <c r="AB6" s="85" t="e">
        <f ca="1">FORECAST(1,OFFSET(X9,MATCH(1,Y9:Y133,-1)-1,0,2),OFFSET(Y9,MATCH(1,Y9:Y133,-1)-1,0,2))</f>
        <v>#N/A</v>
      </c>
      <c r="AC6" s="88">
        <f>MIN(Z9:Z133)</f>
        <v>0</v>
      </c>
    </row>
    <row r="7" spans="1:29" s="38" customFormat="1">
      <c r="A7" s="74"/>
      <c r="B7" s="46"/>
      <c r="C7" s="46"/>
      <c r="D7" s="74"/>
      <c r="K7" s="72"/>
      <c r="L7" s="73"/>
      <c r="M7" s="50"/>
      <c r="O7" s="50"/>
      <c r="S7" s="75"/>
      <c r="T7" s="74"/>
      <c r="U7" s="253"/>
      <c r="V7" s="46"/>
      <c r="W7" s="76"/>
    </row>
    <row r="8" spans="1:29" ht="42" customHeight="1">
      <c r="A8" s="94" t="s">
        <v>344</v>
      </c>
      <c r="B8" s="95" t="s">
        <v>55</v>
      </c>
      <c r="C8" s="92" t="s">
        <v>56</v>
      </c>
      <c r="D8" s="92" t="s">
        <v>6</v>
      </c>
      <c r="E8" s="92" t="s">
        <v>4</v>
      </c>
      <c r="F8" s="92" t="s">
        <v>10</v>
      </c>
      <c r="G8" s="92" t="s">
        <v>5</v>
      </c>
      <c r="H8" s="93" t="s">
        <v>47</v>
      </c>
      <c r="I8" s="92" t="s">
        <v>181</v>
      </c>
      <c r="J8" s="92" t="s">
        <v>176</v>
      </c>
      <c r="K8" s="92" t="s">
        <v>8</v>
      </c>
      <c r="L8" s="92" t="s">
        <v>12</v>
      </c>
      <c r="M8" s="92" t="s">
        <v>7</v>
      </c>
      <c r="N8" s="92" t="s">
        <v>180</v>
      </c>
      <c r="O8" s="92" t="s">
        <v>11</v>
      </c>
      <c r="P8" s="92" t="s">
        <v>182</v>
      </c>
      <c r="Q8" s="93" t="s">
        <v>177</v>
      </c>
      <c r="R8" s="93" t="s">
        <v>357</v>
      </c>
      <c r="S8" s="92" t="s">
        <v>380</v>
      </c>
      <c r="T8" s="93" t="s">
        <v>381</v>
      </c>
      <c r="U8" s="92" t="s">
        <v>375</v>
      </c>
      <c r="V8" s="93" t="s">
        <v>376</v>
      </c>
      <c r="W8" s="93" t="s">
        <v>416</v>
      </c>
      <c r="X8" s="92" t="s">
        <v>351</v>
      </c>
      <c r="Y8" s="93" t="s">
        <v>350</v>
      </c>
      <c r="Z8" s="221" t="s">
        <v>283</v>
      </c>
    </row>
    <row r="9" spans="1:29">
      <c r="A9" s="53">
        <v>1.2789999999999999E-4</v>
      </c>
      <c r="B9" s="53">
        <v>0.20220299999999999</v>
      </c>
      <c r="C9" s="54">
        <v>0.424757</v>
      </c>
      <c r="D9" s="58">
        <f>IF(CouplingMode="AC",B9-(A$11-A$10)*SUM(B$9:B9)/0.21,B9)</f>
        <v>0.20220299999999999</v>
      </c>
      <c r="E9" s="55">
        <f>IF(C9&gt;0,C9/RefCellCal,0.00001)</f>
        <v>39.036125316207666</v>
      </c>
      <c r="F9" s="55">
        <f t="shared" ref="F9:F40" si="0">E9-BiasLight</f>
        <v>39.036125316207666</v>
      </c>
      <c r="G9" s="56">
        <f t="shared" ref="G9:G40" si="1">F9*0.038*OptConst/1.602E-19</f>
        <v>6.4816537666112594E+18</v>
      </c>
      <c r="H9" s="77">
        <f t="shared" ref="H9:H40" si="2">CalcConductance(B9,Dark_Voltage,A_cal,B_cal,C_cal)</f>
        <v>6.5663989307646817E-3</v>
      </c>
      <c r="I9" s="56">
        <f t="shared" ref="I9:I40" si="3">CalcDeltaN(H9,SampleDoping,Thickness,AreaFrac)</f>
        <v>432032974756884.19</v>
      </c>
      <c r="J9" s="56" t="str">
        <f t="shared" ref="J9:J40" si="4">IF(AND(AND(I9&gt;=FitRangeMin,I9&lt;=FitRangeMax),A9&gt;TimeofMaxCD),I9,"")</f>
        <v/>
      </c>
      <c r="K9" s="56">
        <f t="shared" ref="K9:K40" si="5">IF(I9-BiasPtCD&lt;0,0.00001,I9-BiasPtCD)</f>
        <v>432032974756884.19</v>
      </c>
      <c r="L9" s="51"/>
      <c r="M9" s="46" t="str">
        <f t="shared" ref="M9:M40" si="6">IF(E9&gt;0.85*BiasLight,IF( E9&lt;1.15*BiasLight,E9,""),"")</f>
        <v/>
      </c>
      <c r="N9" s="46" t="str">
        <f t="shared" ref="N9:N40" si="7">IF(E9&gt;0.85*BiasLight,IF(E9&lt;1.15*BiasLight,I9,""),"")</f>
        <v/>
      </c>
      <c r="O9" s="51" t="e">
        <f t="shared" ref="O9:O40" si="8">I9-Traps</f>
        <v>#DIV/0!</v>
      </c>
      <c r="P9" s="56"/>
      <c r="Q9" s="51"/>
      <c r="R9" s="40"/>
      <c r="S9" s="57"/>
      <c r="T9" s="38"/>
      <c r="U9" s="57" t="e">
        <f>FitInterceptAuger+FitSlopeAuger*(I9+Traps)</f>
        <v>#DIV/0!</v>
      </c>
      <c r="V9" s="40">
        <f>IF(AugerModel="Sinton","",IF(SampleType="n-type",n_intr_boltzmann(SampleDoping,0,K9,298.15),n_intr_boltzmann(0,SampleDoping,K9,298.15)))</f>
        <v>8410979370.9187727</v>
      </c>
      <c r="W9" s="40" t="str">
        <f>IF(V9="","",IF(T9="","",V9^2*S9))</f>
        <v/>
      </c>
      <c r="X9" s="58" t="e">
        <f>IF(AND(A9&gt;TimeofMaxCD,I9&gt;Traps),IF(AugerModel="Sinton",CalcImpliedV(SampleDoping,O9),CalcImpliedVRichter(O9,SampleDoping,V9)),"")</f>
        <v>#DIV/0!</v>
      </c>
      <c r="Y9" s="37" t="str">
        <f t="shared" ref="Y9:Y40" si="9">IF(OR(P9="",P9&lt;0,A9&lt;=TimeofMaxCD),"",(O9*Thickness*1.602E-19/(0.038*OptConst*P9)))</f>
        <v/>
      </c>
      <c r="Z9" s="41" t="str">
        <f t="shared" ref="Z9:Z40" si="10">IF(C9&gt;0.6,O9,"")</f>
        <v/>
      </c>
    </row>
    <row r="10" spans="1:29">
      <c r="A10" s="53">
        <v>3.8390000000000001E-4</v>
      </c>
      <c r="B10" s="53">
        <v>0.293182</v>
      </c>
      <c r="C10" s="54">
        <v>0.49633100000000002</v>
      </c>
      <c r="D10" s="58">
        <f>IF(CouplingMode="AC",B10-(A$11-A$10)*SUM(B$9:B10)/0.21,B10)</f>
        <v>0.293182</v>
      </c>
      <c r="E10" s="55">
        <f t="shared" ref="E10:E40" si="11">IF(C10&gt;0,C10/RefCellCal,0.00001)</f>
        <v>45.613937178948596</v>
      </c>
      <c r="F10" s="55">
        <f t="shared" si="0"/>
        <v>45.613937178948596</v>
      </c>
      <c r="G10" s="56">
        <f t="shared" si="1"/>
        <v>7.5738497438204283E+18</v>
      </c>
      <c r="H10" s="77">
        <f t="shared" si="2"/>
        <v>9.5279411406029718E-3</v>
      </c>
      <c r="I10" s="56">
        <f t="shared" si="3"/>
        <v>628980003383610.12</v>
      </c>
      <c r="J10" s="56" t="str">
        <f t="shared" si="4"/>
        <v/>
      </c>
      <c r="K10" s="56">
        <f t="shared" si="5"/>
        <v>628980003383610.12</v>
      </c>
      <c r="L10" s="51"/>
      <c r="M10" s="46" t="str">
        <f t="shared" si="6"/>
        <v/>
      </c>
      <c r="N10" s="46" t="str">
        <f t="shared" si="7"/>
        <v/>
      </c>
      <c r="O10" s="51" t="e">
        <f t="shared" si="8"/>
        <v>#DIV/0!</v>
      </c>
      <c r="P10" s="56"/>
      <c r="Q10" s="51"/>
      <c r="R10" s="40"/>
      <c r="S10" s="57"/>
      <c r="T10" s="99"/>
      <c r="U10" s="57" t="e">
        <f t="shared" ref="U10:U40" si="12">FitInterceptAuger+FitSlopeAuger*(I10+Traps)</f>
        <v>#DIV/0!</v>
      </c>
      <c r="V10" s="40">
        <f>IF(AugerModel="Sinton","",IF(SampleType="n-type",n_intr_boltzmann(SampleDoping,0,K10,298.15),n_intr_boltzmann(0,SampleDoping,K10,298.15)))</f>
        <v>8438688169.5203848</v>
      </c>
      <c r="W10" s="40" t="str">
        <f t="shared" ref="W10:W73" si="13">IF(V10="","",IF(T10="","",V10^2*S10))</f>
        <v/>
      </c>
      <c r="X10" s="58" t="e">
        <f>IF(AND(A10&gt;TimeofMaxCD,I10&gt;Traps),IF(AugerModel="Sinton",CalcImpliedV(SampleDoping,O10),CalcImpliedVRichter(O10,SampleDoping,V10)),"")</f>
        <v>#DIV/0!</v>
      </c>
      <c r="Y10" s="37" t="str">
        <f t="shared" si="9"/>
        <v/>
      </c>
      <c r="Z10" s="41" t="str">
        <f t="shared" si="10"/>
        <v/>
      </c>
    </row>
    <row r="11" spans="1:29">
      <c r="A11" s="53">
        <v>6.399E-4</v>
      </c>
      <c r="B11" s="53">
        <v>0.25459199999999998</v>
      </c>
      <c r="C11" s="54">
        <v>0.49629099999999998</v>
      </c>
      <c r="D11" s="58">
        <f>IF(CouplingMode="AC",B11-(A$11-A$10)*SUM(B$9:B11)/0.21,B11)</f>
        <v>0.25459199999999998</v>
      </c>
      <c r="E11" s="55">
        <f t="shared" si="11"/>
        <v>45.610261088824949</v>
      </c>
      <c r="F11" s="55">
        <f t="shared" si="0"/>
        <v>45.610261088824949</v>
      </c>
      <c r="G11" s="56">
        <f t="shared" si="1"/>
        <v>7.573239356821122E+18</v>
      </c>
      <c r="H11" s="77">
        <f t="shared" si="2"/>
        <v>8.2712266979168697E-3</v>
      </c>
      <c r="I11" s="56">
        <f t="shared" si="3"/>
        <v>545258313548537.31</v>
      </c>
      <c r="J11" s="56" t="str">
        <f t="shared" si="4"/>
        <v/>
      </c>
      <c r="K11" s="56">
        <f t="shared" si="5"/>
        <v>545258313548537.31</v>
      </c>
      <c r="L11" s="51">
        <f t="shared" ref="L11:L42" si="14">IF(ABS(SLOPE(K9:K13,A9:A13))&lt;1000000000000,-1000000000000,(SLOPE(K9:K13,A9:A13)))</f>
        <v>-9.4269049926758368E+16</v>
      </c>
      <c r="M11" s="46" t="str">
        <f t="shared" si="6"/>
        <v/>
      </c>
      <c r="N11" s="46" t="str">
        <f t="shared" si="7"/>
        <v/>
      </c>
      <c r="O11" s="51" t="e">
        <f t="shared" si="8"/>
        <v>#DIV/0!</v>
      </c>
      <c r="P11" s="56">
        <f>calclifetime(AnalysisMode,K11,Thickness,G11,L11)</f>
        <v>3.8374949929399784E-6</v>
      </c>
      <c r="Q11" s="51"/>
      <c r="R11" s="40"/>
      <c r="S11" s="57">
        <f>IF(AND(E11&gt;0.95*BiasLight,E11&lt;1.05*BiasLight),"",IF(AugerModel="Sinton",calclifetimeauger(Auger_Coefficient,I11,P11),calclifetimerichter(SampleType,I11,SampleDoping,P11)))</f>
        <v>260583.31722505551</v>
      </c>
      <c r="T11" s="38"/>
      <c r="U11" s="57" t="e">
        <f t="shared" si="12"/>
        <v>#DIV/0!</v>
      </c>
      <c r="V11" s="40">
        <f>IF(AugerModel="Sinton","",IF(SampleType="n-type",n_intr_boltzmann(SampleDoping,0,K11,298.15),n_intr_boltzmann(0,SampleDoping,K11,298.15)))</f>
        <v>8427495224.2102175</v>
      </c>
      <c r="W11" s="40" t="str">
        <f t="shared" si="13"/>
        <v/>
      </c>
      <c r="X11" s="58" t="e">
        <f>IF(AND(A11&gt;TimeofMaxCD,I11&gt;Traps),IF(AugerModel="Sinton",CalcImpliedV(SampleDoping,O11),CalcImpliedVRichter(O11,SampleDoping,V11)),"")</f>
        <v>#DIV/0!</v>
      </c>
      <c r="Y11" s="37" t="e">
        <f t="shared" si="9"/>
        <v>#DIV/0!</v>
      </c>
      <c r="Z11" s="41" t="str">
        <f t="shared" si="10"/>
        <v/>
      </c>
    </row>
    <row r="12" spans="1:29">
      <c r="A12" s="53">
        <v>8.9590000000000004E-4</v>
      </c>
      <c r="B12" s="53">
        <v>0.21709899999999999</v>
      </c>
      <c r="C12" s="54">
        <v>0.462395</v>
      </c>
      <c r="D12" s="58">
        <f>IF(CouplingMode="AC",B12-(A$11-A$10)*SUM(B$9:B12)/0.21,B12)</f>
        <v>0.21709899999999999</v>
      </c>
      <c r="E12" s="55">
        <f t="shared" si="11"/>
        <v>42.495142318049716</v>
      </c>
      <c r="F12" s="55">
        <f t="shared" si="0"/>
        <v>42.495142318049716</v>
      </c>
      <c r="G12" s="56">
        <f t="shared" si="1"/>
        <v>7.0559974136087542E+18</v>
      </c>
      <c r="H12" s="77">
        <f t="shared" si="2"/>
        <v>7.0509923747263184E-3</v>
      </c>
      <c r="I12" s="56">
        <f t="shared" si="3"/>
        <v>464175523013892.56</v>
      </c>
      <c r="J12" s="56" t="str">
        <f t="shared" si="4"/>
        <v/>
      </c>
      <c r="K12" s="56">
        <f t="shared" si="5"/>
        <v>464175523013892.56</v>
      </c>
      <c r="L12" s="51">
        <f t="shared" si="14"/>
        <v>-2.907603893930976E+17</v>
      </c>
      <c r="M12" s="46" t="str">
        <f t="shared" si="6"/>
        <v/>
      </c>
      <c r="N12" s="46" t="str">
        <f t="shared" si="7"/>
        <v/>
      </c>
      <c r="O12" s="51" t="e">
        <f t="shared" si="8"/>
        <v>#DIV/0!</v>
      </c>
      <c r="P12" s="56">
        <f t="shared" ref="P12:P42" si="15">calclifetime(AnalysisMode,K12,Thickness,G12,L12)</f>
        <v>3.5063158227529795E-6</v>
      </c>
      <c r="Q12" s="51" t="str">
        <f t="shared" ref="Q12:Q43" si="16">IF($J12="","",P12)</f>
        <v/>
      </c>
      <c r="R12" s="40" t="str">
        <f t="shared" ref="R12:R43" si="17">IF(Q12="","",1/Q12)</f>
        <v/>
      </c>
      <c r="S12" s="57">
        <f>IF(AND(E12&gt;0.95*BiasLight,E12&lt;1.05*BiasLight),"",IF(AugerModel="Sinton",calclifetimeauger(Auger_Coefficient,I12,P12),calclifetimerichter(SampleType,I12,SampleDoping,P12)))</f>
        <v>285196.86071881163</v>
      </c>
      <c r="T12" s="38" t="str">
        <f t="shared" ref="T12:T43" si="18">IF($J12="","",S12)</f>
        <v/>
      </c>
      <c r="U12" s="57" t="e">
        <f t="shared" si="12"/>
        <v>#DIV/0!</v>
      </c>
      <c r="V12" s="40">
        <f>IF(AugerModel="Sinton","",IF(SampleType="n-type",n_intr_boltzmann(SampleDoping,0,K12,298.15),n_intr_boltzmann(0,SampleDoping,K12,298.15)))</f>
        <v>8415853844.66395</v>
      </c>
      <c r="W12" s="40" t="str">
        <f t="shared" si="13"/>
        <v/>
      </c>
      <c r="X12" s="58" t="e">
        <f>IF(AND(A12&gt;TimeofMaxCD,I12&gt;Traps),IF(AugerModel="Sinton",CalcImpliedV(SampleDoping,O12),CalcImpliedVRichter(O12,SampleDoping,V12)),"")</f>
        <v>#DIV/0!</v>
      </c>
      <c r="Y12" s="37" t="e">
        <f t="shared" si="9"/>
        <v>#DIV/0!</v>
      </c>
      <c r="Z12" s="41" t="str">
        <f t="shared" si="10"/>
        <v/>
      </c>
    </row>
    <row r="13" spans="1:29">
      <c r="A13" s="53">
        <v>1.1519E-3</v>
      </c>
      <c r="B13" s="53">
        <v>0.184446</v>
      </c>
      <c r="C13" s="54">
        <v>0.40050200000000002</v>
      </c>
      <c r="D13" s="58">
        <f>IF(CouplingMode="AC",B13-(A$11-A$10)*SUM(B$9:B13)/0.21,B13)</f>
        <v>0.184446</v>
      </c>
      <c r="E13" s="55">
        <f t="shared" si="11"/>
        <v>36.807036167483538</v>
      </c>
      <c r="F13" s="55">
        <f t="shared" si="0"/>
        <v>36.807036167483538</v>
      </c>
      <c r="G13" s="56">
        <f t="shared" si="1"/>
        <v>6.1115303499067546E+18</v>
      </c>
      <c r="H13" s="77">
        <f t="shared" si="2"/>
        <v>5.9888856046642971E-3</v>
      </c>
      <c r="I13" s="56">
        <f t="shared" si="3"/>
        <v>393770831035492.25</v>
      </c>
      <c r="J13" s="56" t="str">
        <f t="shared" si="4"/>
        <v/>
      </c>
      <c r="K13" s="56">
        <f t="shared" si="5"/>
        <v>393770831035492.25</v>
      </c>
      <c r="L13" s="51">
        <f t="shared" si="14"/>
        <v>-2.5813051189210506E+17</v>
      </c>
      <c r="M13" s="46" t="str">
        <f t="shared" si="6"/>
        <v/>
      </c>
      <c r="N13" s="46" t="str">
        <f t="shared" si="7"/>
        <v/>
      </c>
      <c r="O13" s="51" t="e">
        <f t="shared" si="8"/>
        <v>#DIV/0!</v>
      </c>
      <c r="P13" s="56">
        <f t="shared" si="15"/>
        <v>3.4341620007682622E-6</v>
      </c>
      <c r="Q13" s="51" t="str">
        <f t="shared" si="16"/>
        <v/>
      </c>
      <c r="R13" s="40" t="str">
        <f t="shared" si="17"/>
        <v/>
      </c>
      <c r="S13" s="57">
        <f>IF(AND(E13&gt;0.95*BiasLight,E13&lt;1.05*BiasLight),"",IF(AugerModel="Sinton",calclifetimeauger(Auger_Coefficient,I13,P13),calclifetimerichter(SampleType,I13,SampleDoping,P13)))</f>
        <v>291189.54999999236</v>
      </c>
      <c r="T13" s="295" t="str">
        <f t="shared" si="18"/>
        <v/>
      </c>
      <c r="U13" s="57" t="e">
        <f t="shared" si="12"/>
        <v>#DIV/0!</v>
      </c>
      <c r="V13" s="40">
        <f>IF(AugerModel="Sinton","",IF(SampleType="n-type",n_intr_boltzmann(SampleDoping,0,K13,298.15),n_intr_boltzmann(0,SampleDoping,K13,298.15)))</f>
        <v>8404953802.8924475</v>
      </c>
      <c r="W13" s="40" t="str">
        <f t="shared" si="13"/>
        <v/>
      </c>
      <c r="X13" s="58" t="e">
        <f>IF(AND(A13&gt;TimeofMaxCD,I13&gt;Traps),IF(AugerModel="Sinton",CalcImpliedV(SampleDoping,O13),CalcImpliedVRichter(O13,SampleDoping,V13)),"")</f>
        <v>#DIV/0!</v>
      </c>
      <c r="Y13" s="37" t="e">
        <f>IF(OR(P13="",P13&lt;0,A13&lt;=TimeofMaxCD),"",(O13*Thickness*1.602E-19/(0.038*OptConst*P13)))</f>
        <v>#DIV/0!</v>
      </c>
      <c r="Z13" s="41" t="str">
        <f t="shared" si="10"/>
        <v/>
      </c>
    </row>
    <row r="14" spans="1:29">
      <c r="A14" s="53">
        <v>1.4078999999999999E-3</v>
      </c>
      <c r="B14" s="53">
        <v>0.155977</v>
      </c>
      <c r="C14" s="54">
        <v>0.34642499999999998</v>
      </c>
      <c r="D14" s="58">
        <f>IF(CouplingMode="AC",B14-(A$11-A$10)*SUM(B$9:B14)/0.21,B14)</f>
        <v>0.155977</v>
      </c>
      <c r="E14" s="55">
        <f t="shared" si="11"/>
        <v>31.837238027077223</v>
      </c>
      <c r="F14" s="55">
        <f t="shared" si="0"/>
        <v>31.837238027077223</v>
      </c>
      <c r="G14" s="56">
        <f t="shared" si="1"/>
        <v>5.2863329058692516E+18</v>
      </c>
      <c r="H14" s="77">
        <f t="shared" si="2"/>
        <v>5.0633329556809617E-3</v>
      </c>
      <c r="I14" s="56">
        <f t="shared" si="3"/>
        <v>332550446216967.69</v>
      </c>
      <c r="J14" s="56" t="str">
        <f t="shared" si="4"/>
        <v/>
      </c>
      <c r="K14" s="56">
        <f t="shared" si="5"/>
        <v>332550446216967.69</v>
      </c>
      <c r="L14" s="51">
        <f t="shared" si="14"/>
        <v>-2.2068179557117696E+17</v>
      </c>
      <c r="M14" s="46" t="str">
        <f t="shared" si="6"/>
        <v/>
      </c>
      <c r="N14" s="46" t="str">
        <f t="shared" si="7"/>
        <v/>
      </c>
      <c r="O14" s="51" t="e">
        <f t="shared" si="8"/>
        <v>#DIV/0!</v>
      </c>
      <c r="P14" s="56">
        <f t="shared" si="15"/>
        <v>3.3529743773202268E-6</v>
      </c>
      <c r="Q14" s="51" t="str">
        <f t="shared" si="16"/>
        <v/>
      </c>
      <c r="R14" s="40" t="str">
        <f t="shared" si="17"/>
        <v/>
      </c>
      <c r="S14" s="57">
        <f>IF(AND(E14&gt;0.95*BiasLight,E14&lt;1.05*BiasLight),"",IF(AugerModel="Sinton",calclifetimeauger(Auger_Coefficient,I14,P14),calclifetimerichter(SampleType,I14,SampleDoping,P14)))</f>
        <v>298240.75306849706</v>
      </c>
      <c r="T14" s="295" t="str">
        <f t="shared" si="18"/>
        <v/>
      </c>
      <c r="U14" s="57" t="e">
        <f t="shared" si="12"/>
        <v>#DIV/0!</v>
      </c>
      <c r="V14" s="40">
        <f>IF(AugerModel="Sinton","",IF(SampleType="n-type",n_intr_boltzmann(SampleDoping,0,K14,298.15),n_intr_boltzmann(0,SampleDoping,K14,298.15)))</f>
        <v>8394728515.0189991</v>
      </c>
      <c r="W14" s="40" t="str">
        <f t="shared" si="13"/>
        <v/>
      </c>
      <c r="X14" s="58" t="e">
        <f>IF(AND(A14&gt;TimeofMaxCD,I14&gt;Traps),IF(AugerModel="Sinton",CalcImpliedV(SampleDoping,O14),CalcImpliedVRichter(O14,SampleDoping,V14)),"")</f>
        <v>#DIV/0!</v>
      </c>
      <c r="Y14" s="37" t="e">
        <f t="shared" si="9"/>
        <v>#DIV/0!</v>
      </c>
      <c r="Z14" s="41" t="str">
        <f t="shared" si="10"/>
        <v/>
      </c>
    </row>
    <row r="15" spans="1:29">
      <c r="A15" s="53">
        <v>1.6639000000000001E-3</v>
      </c>
      <c r="B15" s="53">
        <v>0.13179199999999999</v>
      </c>
      <c r="C15" s="54">
        <v>0.30016500000000002</v>
      </c>
      <c r="D15" s="58">
        <f>IF(CouplingMode="AC",B15-(A$11-A$10)*SUM(B$9:B15)/0.21,B15)</f>
        <v>0.13179199999999999</v>
      </c>
      <c r="E15" s="55">
        <f t="shared" si="11"/>
        <v>27.585839799083889</v>
      </c>
      <c r="F15" s="55">
        <f t="shared" si="0"/>
        <v>27.585839799083889</v>
      </c>
      <c r="G15" s="56">
        <f t="shared" si="1"/>
        <v>4.5804203411712323E+18</v>
      </c>
      <c r="H15" s="77">
        <f t="shared" si="2"/>
        <v>4.2773942139818708E-3</v>
      </c>
      <c r="I15" s="56">
        <f t="shared" si="3"/>
        <v>280663796725105.28</v>
      </c>
      <c r="J15" s="56" t="str">
        <f t="shared" si="4"/>
        <v/>
      </c>
      <c r="K15" s="56">
        <f t="shared" si="5"/>
        <v>280663796725105.28</v>
      </c>
      <c r="L15" s="51">
        <f t="shared" si="14"/>
        <v>-1.8642180489700768E+17</v>
      </c>
      <c r="M15" s="46" t="str">
        <f t="shared" si="6"/>
        <v/>
      </c>
      <c r="N15" s="46" t="str">
        <f t="shared" si="7"/>
        <v/>
      </c>
      <c r="O15" s="51" t="e">
        <f t="shared" si="8"/>
        <v>#DIV/0!</v>
      </c>
      <c r="P15" s="56">
        <f t="shared" si="15"/>
        <v>3.2659405144513302E-6</v>
      </c>
      <c r="Q15" s="51" t="str">
        <f t="shared" si="16"/>
        <v/>
      </c>
      <c r="R15" s="40" t="str">
        <f t="shared" si="17"/>
        <v/>
      </c>
      <c r="S15" s="57">
        <f>IF(AND(E15&gt;0.95*BiasLight,E15&lt;1.05*BiasLight),"",IF(AugerModel="Sinton",calclifetimeauger(Auger_Coefficient,I15,P15),calclifetimerichter(SampleType,I15,SampleDoping,P15)))</f>
        <v>306188.92995005049</v>
      </c>
      <c r="T15" s="295" t="str">
        <f t="shared" si="18"/>
        <v/>
      </c>
      <c r="U15" s="57" t="e">
        <f t="shared" si="12"/>
        <v>#DIV/0!</v>
      </c>
      <c r="V15" s="40">
        <f>IF(AugerModel="Sinton","",IF(SampleType="n-type",n_intr_boltzmann(SampleDoping,0,K15,298.15),n_intr_boltzmann(0,SampleDoping,K15,298.15)))</f>
        <v>8385382815.0442924</v>
      </c>
      <c r="W15" s="40" t="str">
        <f t="shared" si="13"/>
        <v/>
      </c>
      <c r="X15" s="58" t="e">
        <f>IF(AND(A15&gt;TimeofMaxCD,I15&gt;Traps),IF(AugerModel="Sinton",CalcImpliedV(SampleDoping,O15),CalcImpliedVRichter(O15,SampleDoping,V15)),"")</f>
        <v>#DIV/0!</v>
      </c>
      <c r="Y15" s="37" t="e">
        <f t="shared" si="9"/>
        <v>#DIV/0!</v>
      </c>
      <c r="Z15" s="41" t="str">
        <f t="shared" si="10"/>
        <v/>
      </c>
    </row>
    <row r="16" spans="1:29">
      <c r="A16" s="53">
        <v>1.9199E-3</v>
      </c>
      <c r="B16" s="53">
        <v>0.111986</v>
      </c>
      <c r="C16" s="54">
        <v>0.26099099999999997</v>
      </c>
      <c r="D16" s="58">
        <f>IF(CouplingMode="AC",B16-(A$11-A$10)*SUM(B$9:B16)/0.21,B16)</f>
        <v>0.111986</v>
      </c>
      <c r="E16" s="55">
        <f t="shared" si="11"/>
        <v>23.985660936493936</v>
      </c>
      <c r="F16" s="55">
        <f t="shared" si="0"/>
        <v>23.985660936493936</v>
      </c>
      <c r="G16" s="56">
        <f t="shared" si="1"/>
        <v>3.9826378334003661E+18</v>
      </c>
      <c r="H16" s="77">
        <f t="shared" si="2"/>
        <v>3.6339903544801849E-3</v>
      </c>
      <c r="I16" s="56">
        <f t="shared" si="3"/>
        <v>238256341837979.56</v>
      </c>
      <c r="J16" s="56" t="str">
        <f t="shared" si="4"/>
        <v/>
      </c>
      <c r="K16" s="56">
        <f t="shared" si="5"/>
        <v>238256341837979.56</v>
      </c>
      <c r="L16" s="51">
        <f t="shared" si="14"/>
        <v>-1.5649399529201507E+17</v>
      </c>
      <c r="M16" s="46" t="str">
        <f t="shared" si="6"/>
        <v/>
      </c>
      <c r="N16" s="46" t="str">
        <f t="shared" si="7"/>
        <v/>
      </c>
      <c r="O16" s="51" t="e">
        <f t="shared" si="8"/>
        <v>#DIV/0!</v>
      </c>
      <c r="P16" s="56">
        <f t="shared" si="15"/>
        <v>3.1886060322793355E-6</v>
      </c>
      <c r="Q16" s="51" t="str">
        <f t="shared" si="16"/>
        <v/>
      </c>
      <c r="R16" s="40" t="str">
        <f t="shared" si="17"/>
        <v/>
      </c>
      <c r="S16" s="57">
        <f>IF(AND(E16&gt;0.95*BiasLight,E16&lt;1.05*BiasLight),"",IF(AugerModel="Sinton",calclifetimeauger(Auger_Coefficient,I16,P16),calclifetimerichter(SampleType,I16,SampleDoping,P16)))</f>
        <v>313615.34404286067</v>
      </c>
      <c r="T16" s="295" t="str">
        <f t="shared" si="18"/>
        <v/>
      </c>
      <c r="U16" s="57" t="e">
        <f t="shared" si="12"/>
        <v>#DIV/0!</v>
      </c>
      <c r="V16" s="40">
        <f>IF(AugerModel="Sinton","",IF(SampleType="n-type",n_intr_boltzmann(SampleDoping,0,K16,298.15),n_intr_boltzmann(0,SampleDoping,K16,298.15)))</f>
        <v>8377169495.7907057</v>
      </c>
      <c r="W16" s="40" t="str">
        <f t="shared" si="13"/>
        <v/>
      </c>
      <c r="X16" s="58" t="e">
        <f>IF(AND(A16&gt;TimeofMaxCD,I16&gt;Traps),IF(AugerModel="Sinton",CalcImpliedV(SampleDoping,O16),CalcImpliedVRichter(O16,SampleDoping,V16)),"")</f>
        <v>#DIV/0!</v>
      </c>
      <c r="Y16" s="37" t="e">
        <f t="shared" si="9"/>
        <v>#DIV/0!</v>
      </c>
      <c r="Z16" s="41" t="str">
        <f t="shared" si="10"/>
        <v/>
      </c>
    </row>
    <row r="17" spans="1:26">
      <c r="A17" s="53">
        <v>2.1759000000000001E-3</v>
      </c>
      <c r="B17" s="53">
        <v>9.5163600000000001E-2</v>
      </c>
      <c r="C17" s="54">
        <v>0.227219</v>
      </c>
      <c r="D17" s="58">
        <f>IF(CouplingMode="AC",B17-(A$11-A$10)*SUM(B$9:B17)/0.21,B17)</f>
        <v>9.5163600000000001E-2</v>
      </c>
      <c r="E17" s="55">
        <f t="shared" si="11"/>
        <v>20.881938045102</v>
      </c>
      <c r="F17" s="55">
        <f t="shared" si="0"/>
        <v>20.881938045102</v>
      </c>
      <c r="G17" s="56">
        <f t="shared" si="1"/>
        <v>3.4672880898858496E+18</v>
      </c>
      <c r="H17" s="77">
        <f t="shared" si="2"/>
        <v>3.0876728156178854E-3</v>
      </c>
      <c r="I17" s="56">
        <f t="shared" si="3"/>
        <v>202297972956816.41</v>
      </c>
      <c r="J17" s="56" t="str">
        <f t="shared" si="4"/>
        <v/>
      </c>
      <c r="K17" s="56">
        <f t="shared" si="5"/>
        <v>202297972956816.41</v>
      </c>
      <c r="L17" s="51">
        <f t="shared" si="14"/>
        <v>-1.3146197497216011E+17</v>
      </c>
      <c r="M17" s="46" t="str">
        <f t="shared" si="6"/>
        <v/>
      </c>
      <c r="N17" s="46" t="str">
        <f t="shared" si="7"/>
        <v/>
      </c>
      <c r="O17" s="51" t="e">
        <f t="shared" si="8"/>
        <v>#DIV/0!</v>
      </c>
      <c r="P17" s="56">
        <f t="shared" si="15"/>
        <v>3.1097738864131409E-6</v>
      </c>
      <c r="Q17" s="51" t="str">
        <f t="shared" si="16"/>
        <v/>
      </c>
      <c r="R17" s="40" t="str">
        <f t="shared" si="17"/>
        <v/>
      </c>
      <c r="S17" s="57">
        <f>IF(AND(E17&gt;0.95*BiasLight,E17&lt;1.05*BiasLight),"",IF(AugerModel="Sinton",calclifetimeauger(Auger_Coefficient,I17,P17),calclifetimerichter(SampleType,I17,SampleDoping,P17)))</f>
        <v>321565.67772996571</v>
      </c>
      <c r="T17" s="295" t="str">
        <f t="shared" si="18"/>
        <v/>
      </c>
      <c r="U17" s="57" t="e">
        <f t="shared" si="12"/>
        <v>#DIV/0!</v>
      </c>
      <c r="V17" s="40">
        <f>IF(AugerModel="Sinton","",IF(SampleType="n-type",n_intr_boltzmann(SampleDoping,0,K17,298.15),n_intr_boltzmann(0,SampleDoping,K17,298.15)))</f>
        <v>8369705997.5389357</v>
      </c>
      <c r="W17" s="40" t="str">
        <f t="shared" si="13"/>
        <v/>
      </c>
      <c r="X17" s="58" t="e">
        <f>IF(AND(A17&gt;TimeofMaxCD,I17&gt;Traps),IF(AugerModel="Sinton",CalcImpliedV(SampleDoping,O17),CalcImpliedVRichter(O17,SampleDoping,V17)),"")</f>
        <v>#DIV/0!</v>
      </c>
      <c r="Y17" s="37" t="e">
        <f t="shared" si="9"/>
        <v>#DIV/0!</v>
      </c>
      <c r="Z17" s="41" t="str">
        <f t="shared" si="10"/>
        <v/>
      </c>
    </row>
    <row r="18" spans="1:26">
      <c r="A18" s="53">
        <v>2.4318999999999999E-3</v>
      </c>
      <c r="B18" s="53">
        <v>8.0697199999999997E-2</v>
      </c>
      <c r="C18" s="54">
        <v>0.19823499999999999</v>
      </c>
      <c r="D18" s="58">
        <f>IF(CouplingMode="AC",B18-(A$11-A$10)*SUM(B$9:B18)/0.21,B18)</f>
        <v>8.0697199999999997E-2</v>
      </c>
      <c r="E18" s="55">
        <f t="shared" si="11"/>
        <v>18.21824314151015</v>
      </c>
      <c r="F18" s="55">
        <f t="shared" si="0"/>
        <v>18.21824314151015</v>
      </c>
      <c r="G18" s="56">
        <f t="shared" si="1"/>
        <v>3.0250016701883269E+18</v>
      </c>
      <c r="H18" s="77">
        <f t="shared" si="2"/>
        <v>2.6179876599104687E-3</v>
      </c>
      <c r="I18" s="56">
        <f t="shared" si="3"/>
        <v>171421044127332.81</v>
      </c>
      <c r="J18" s="56" t="str">
        <f t="shared" si="4"/>
        <v/>
      </c>
      <c r="K18" s="56">
        <f t="shared" si="5"/>
        <v>171421044127332.81</v>
      </c>
      <c r="L18" s="51">
        <f t="shared" si="14"/>
        <v>-1.1045770691190403E+17</v>
      </c>
      <c r="M18" s="46" t="str">
        <f t="shared" si="6"/>
        <v/>
      </c>
      <c r="N18" s="46" t="str">
        <f t="shared" si="7"/>
        <v/>
      </c>
      <c r="O18" s="51" t="e">
        <f t="shared" si="8"/>
        <v>#DIV/0!</v>
      </c>
      <c r="P18" s="56">
        <f t="shared" si="15"/>
        <v>3.0204087958133309E-6</v>
      </c>
      <c r="Q18" s="51" t="str">
        <f t="shared" si="16"/>
        <v/>
      </c>
      <c r="R18" s="40" t="str">
        <f t="shared" si="17"/>
        <v/>
      </c>
      <c r="S18" s="57">
        <f>IF(AND(E18&gt;0.95*BiasLight,E18&lt;1.05*BiasLight),"",IF(AugerModel="Sinton",calclifetimeauger(Auger_Coefficient,I18,P18),calclifetimerichter(SampleType,I18,SampleDoping,P18)))</f>
        <v>331080.0812768318</v>
      </c>
      <c r="T18" s="295" t="str">
        <f t="shared" si="18"/>
        <v/>
      </c>
      <c r="U18" s="57" t="e">
        <f t="shared" si="12"/>
        <v>#DIV/0!</v>
      </c>
      <c r="V18" s="40">
        <f>IF(AugerModel="Sinton","",IF(SampleType="n-type",n_intr_boltzmann(SampleDoping,0,K18,298.15),n_intr_boltzmann(0,SampleDoping,K18,298.15)))</f>
        <v>8362850639.9830475</v>
      </c>
      <c r="W18" s="40" t="str">
        <f t="shared" si="13"/>
        <v/>
      </c>
      <c r="X18" s="58" t="e">
        <f>IF(AND(A18&gt;TimeofMaxCD,I18&gt;Traps),IF(AugerModel="Sinton",CalcImpliedV(SampleDoping,O18),CalcImpliedVRichter(O18,SampleDoping,V18)),"")</f>
        <v>#DIV/0!</v>
      </c>
      <c r="Y18" s="37" t="e">
        <f t="shared" si="9"/>
        <v>#DIV/0!</v>
      </c>
      <c r="Z18" s="41" t="str">
        <f t="shared" si="10"/>
        <v/>
      </c>
    </row>
    <row r="19" spans="1:26">
      <c r="A19" s="53">
        <v>2.6879E-3</v>
      </c>
      <c r="B19" s="53">
        <v>6.8682800000000002E-2</v>
      </c>
      <c r="C19" s="54">
        <v>0.17330999999999999</v>
      </c>
      <c r="D19" s="58">
        <f>IF(CouplingMode="AC",B19-(A$11-A$10)*SUM(B$9:B19)/0.21,B19)</f>
        <v>6.8682800000000002E-2</v>
      </c>
      <c r="E19" s="55">
        <f t="shared" si="11"/>
        <v>15.927579483214993</v>
      </c>
      <c r="F19" s="55">
        <f t="shared" si="0"/>
        <v>15.927579483214993</v>
      </c>
      <c r="G19" s="56">
        <f t="shared" si="1"/>
        <v>2.6446542712454359E+18</v>
      </c>
      <c r="H19" s="77">
        <f t="shared" si="2"/>
        <v>2.2279966127750073E-3</v>
      </c>
      <c r="I19" s="56">
        <f t="shared" si="3"/>
        <v>145810117616063.72</v>
      </c>
      <c r="J19" s="56" t="str">
        <f t="shared" si="4"/>
        <v/>
      </c>
      <c r="K19" s="56">
        <f t="shared" si="5"/>
        <v>145810117616063.72</v>
      </c>
      <c r="L19" s="51">
        <f t="shared" si="14"/>
        <v>-9.2662207744870208E+16</v>
      </c>
      <c r="M19" s="46" t="str">
        <f t="shared" si="6"/>
        <v/>
      </c>
      <c r="N19" s="46" t="str">
        <f t="shared" si="7"/>
        <v/>
      </c>
      <c r="O19" s="51" t="e">
        <f t="shared" si="8"/>
        <v>#DIV/0!</v>
      </c>
      <c r="P19" s="56">
        <f t="shared" si="15"/>
        <v>2.9386371418886113E-6</v>
      </c>
      <c r="Q19" s="51" t="str">
        <f t="shared" si="16"/>
        <v/>
      </c>
      <c r="R19" s="40" t="str">
        <f t="shared" si="17"/>
        <v/>
      </c>
      <c r="S19" s="57">
        <f>IF(AND(E19&gt;0.95*BiasLight,E19&lt;1.05*BiasLight),"",IF(AugerModel="Sinton",calclifetimeauger(Auger_Coefficient,I19,P19),calclifetimerichter(SampleType,I19,SampleDoping,P19)))</f>
        <v>340293.01595642668</v>
      </c>
      <c r="T19" s="295" t="str">
        <f t="shared" si="18"/>
        <v/>
      </c>
      <c r="U19" s="57" t="e">
        <f t="shared" si="12"/>
        <v>#DIV/0!</v>
      </c>
      <c r="V19" s="40">
        <f>IF(AugerModel="Sinton","",IF(SampleType="n-type",n_intr_boltzmann(SampleDoping,0,K19,298.15),n_intr_boltzmann(0,SampleDoping,K19,298.15)))</f>
        <v>8356785237.9587708</v>
      </c>
      <c r="W19" s="40" t="str">
        <f t="shared" si="13"/>
        <v/>
      </c>
      <c r="X19" s="58" t="e">
        <f>IF(AND(A19&gt;TimeofMaxCD,I19&gt;Traps),IF(AugerModel="Sinton",CalcImpliedV(SampleDoping,O19),CalcImpliedVRichter(O19,SampleDoping,V19)),"")</f>
        <v>#DIV/0!</v>
      </c>
      <c r="Y19" s="37" t="e">
        <f t="shared" si="9"/>
        <v>#DIV/0!</v>
      </c>
      <c r="Z19" s="41" t="str">
        <f t="shared" si="10"/>
        <v/>
      </c>
    </row>
    <row r="20" spans="1:26">
      <c r="A20" s="53">
        <v>2.9439000000000002E-3</v>
      </c>
      <c r="B20" s="53">
        <v>5.89639E-2</v>
      </c>
      <c r="C20" s="54">
        <v>0.15192800000000001</v>
      </c>
      <c r="D20" s="58">
        <f>IF(CouplingMode="AC",B20-(A$11-A$10)*SUM(B$9:B20)/0.21,B20)</f>
        <v>5.89639E-2</v>
      </c>
      <c r="E20" s="55">
        <f t="shared" si="11"/>
        <v>13.962525507621532</v>
      </c>
      <c r="F20" s="55">
        <f t="shared" si="0"/>
        <v>13.962525507621532</v>
      </c>
      <c r="G20" s="56">
        <f t="shared" si="1"/>
        <v>2.3183719007661215E+18</v>
      </c>
      <c r="H20" s="77">
        <f t="shared" si="2"/>
        <v>1.912574124933758E-3</v>
      </c>
      <c r="I20" s="56">
        <f t="shared" si="3"/>
        <v>125114404661118.75</v>
      </c>
      <c r="J20" s="56" t="str">
        <f t="shared" si="4"/>
        <v/>
      </c>
      <c r="K20" s="56">
        <f t="shared" si="5"/>
        <v>125114404661118.75</v>
      </c>
      <c r="L20" s="51">
        <f t="shared" si="14"/>
        <v>-7.7372338922252912E+16</v>
      </c>
      <c r="M20" s="46" t="str">
        <f t="shared" si="6"/>
        <v/>
      </c>
      <c r="N20" s="46" t="str">
        <f t="shared" si="7"/>
        <v/>
      </c>
      <c r="O20" s="51" t="e">
        <f t="shared" si="8"/>
        <v>#DIV/0!</v>
      </c>
      <c r="P20" s="56">
        <f t="shared" si="15"/>
        <v>2.8764141621255616E-6</v>
      </c>
      <c r="Q20" s="51" t="str">
        <f t="shared" si="16"/>
        <v/>
      </c>
      <c r="R20" s="40" t="str">
        <f t="shared" si="17"/>
        <v/>
      </c>
      <c r="S20" s="57">
        <f>IF(AND(E20&gt;0.95*BiasLight,E20&lt;1.05*BiasLight),"",IF(AugerModel="Sinton",calclifetimeauger(Auger_Coefficient,I20,P20),calclifetimerichter(SampleType,I20,SampleDoping,P20)))</f>
        <v>347654.41384639259</v>
      </c>
      <c r="T20" s="295" t="str">
        <f t="shared" si="18"/>
        <v/>
      </c>
      <c r="U20" s="57" t="e">
        <f t="shared" si="12"/>
        <v>#DIV/0!</v>
      </c>
      <c r="V20" s="40">
        <f>IF(AugerModel="Sinton","",IF(SampleType="n-type",n_intr_boltzmann(SampleDoping,0,K20,298.15),n_intr_boltzmann(0,SampleDoping,K20,298.15)))</f>
        <v>8351583311.3167667</v>
      </c>
      <c r="W20" s="40" t="str">
        <f t="shared" si="13"/>
        <v/>
      </c>
      <c r="X20" s="58" t="e">
        <f>IF(AND(A20&gt;TimeofMaxCD,I20&gt;Traps),IF(AugerModel="Sinton",CalcImpliedV(SampleDoping,O20),CalcImpliedVRichter(O20,SampleDoping,V20)),"")</f>
        <v>#DIV/0!</v>
      </c>
      <c r="Y20" s="37" t="e">
        <f t="shared" si="9"/>
        <v>#DIV/0!</v>
      </c>
      <c r="Z20" s="41" t="str">
        <f t="shared" si="10"/>
        <v/>
      </c>
    </row>
    <row r="21" spans="1:26">
      <c r="A21" s="53">
        <v>3.1998999999999999E-3</v>
      </c>
      <c r="B21" s="53">
        <v>5.0375999999999997E-2</v>
      </c>
      <c r="C21" s="54">
        <v>0.13333600000000001</v>
      </c>
      <c r="D21" s="58">
        <f>IF(CouplingMode="AC",B21-(A$11-A$10)*SUM(B$9:B21)/0.21,B21)</f>
        <v>5.0375999999999997E-2</v>
      </c>
      <c r="E21" s="55">
        <f t="shared" si="11"/>
        <v>12.253878818152181</v>
      </c>
      <c r="F21" s="55">
        <f t="shared" si="0"/>
        <v>12.253878818152181</v>
      </c>
      <c r="G21" s="56">
        <f t="shared" si="1"/>
        <v>2.0346640234884396E+18</v>
      </c>
      <c r="H21" s="77">
        <f t="shared" si="2"/>
        <v>1.6338993634735163E-3</v>
      </c>
      <c r="I21" s="56">
        <f t="shared" si="3"/>
        <v>106843666776489.58</v>
      </c>
      <c r="J21" s="56" t="str">
        <f t="shared" si="4"/>
        <v/>
      </c>
      <c r="K21" s="56">
        <f t="shared" si="5"/>
        <v>106843666776489.58</v>
      </c>
      <c r="L21" s="51">
        <f t="shared" si="14"/>
        <v>-6.5505280129176416E+16</v>
      </c>
      <c r="M21" s="46" t="str">
        <f t="shared" si="6"/>
        <v/>
      </c>
      <c r="N21" s="46" t="str">
        <f t="shared" si="7"/>
        <v/>
      </c>
      <c r="O21" s="51" t="e">
        <f t="shared" si="8"/>
        <v>#DIV/0!</v>
      </c>
      <c r="P21" s="56">
        <f t="shared" si="15"/>
        <v>2.798873609326022E-6</v>
      </c>
      <c r="Q21" s="51" t="str">
        <f t="shared" si="16"/>
        <v/>
      </c>
      <c r="R21" s="40" t="str">
        <f t="shared" si="17"/>
        <v/>
      </c>
      <c r="S21" s="57">
        <f>IF(AND(E21&gt;0.95*BiasLight,E21&lt;1.05*BiasLight),"",IF(AugerModel="Sinton",calclifetimeauger(Auger_Coefficient,I21,P21),calclifetimerichter(SampleType,I21,SampleDoping,P21)))</f>
        <v>357286.0209815795</v>
      </c>
      <c r="T21" s="295" t="str">
        <f t="shared" si="18"/>
        <v/>
      </c>
      <c r="U21" s="57" t="e">
        <f t="shared" si="12"/>
        <v>#DIV/0!</v>
      </c>
      <c r="V21" s="40">
        <f>IF(AugerModel="Sinton","",IF(SampleType="n-type",n_intr_boltzmann(SampleDoping,0,K21,298.15),n_intr_boltzmann(0,SampleDoping,K21,298.15)))</f>
        <v>8346727038.2621803</v>
      </c>
      <c r="W21" s="40" t="str">
        <f t="shared" si="13"/>
        <v/>
      </c>
      <c r="X21" s="58" t="e">
        <f>IF(AND(A21&gt;TimeofMaxCD,I21&gt;Traps),IF(AugerModel="Sinton",CalcImpliedV(SampleDoping,O21),CalcImpliedVRichter(O21,SampleDoping,V21)),"")</f>
        <v>#DIV/0!</v>
      </c>
      <c r="Y21" s="37" t="e">
        <f t="shared" si="9"/>
        <v>#DIV/0!</v>
      </c>
      <c r="Z21" s="41" t="str">
        <f t="shared" si="10"/>
        <v/>
      </c>
    </row>
    <row r="22" spans="1:26">
      <c r="A22" s="53">
        <v>3.4559E-3</v>
      </c>
      <c r="B22" s="53">
        <v>4.33312E-2</v>
      </c>
      <c r="C22" s="54">
        <v>0.11726300000000001</v>
      </c>
      <c r="D22" s="58">
        <f>IF(CouplingMode="AC",B22-(A$11-A$10)*SUM(B$9:B22)/0.21,B22)</f>
        <v>4.33312E-2</v>
      </c>
      <c r="E22" s="55">
        <f t="shared" si="11"/>
        <v>10.77673390421926</v>
      </c>
      <c r="F22" s="55">
        <f t="shared" si="0"/>
        <v>10.77673390421926</v>
      </c>
      <c r="G22" s="56">
        <f t="shared" si="1"/>
        <v>1.7893952674920868E+18</v>
      </c>
      <c r="H22" s="77">
        <f t="shared" si="2"/>
        <v>1.4053268958266266E-3</v>
      </c>
      <c r="I22" s="56">
        <f t="shared" si="3"/>
        <v>91867675726636.156</v>
      </c>
      <c r="J22" s="56" t="str">
        <f t="shared" si="4"/>
        <v/>
      </c>
      <c r="K22" s="56">
        <f t="shared" si="5"/>
        <v>91867675726636.156</v>
      </c>
      <c r="L22" s="51">
        <f t="shared" si="14"/>
        <v>-5.5766667843218648E+16</v>
      </c>
      <c r="M22" s="46" t="str">
        <f t="shared" si="6"/>
        <v/>
      </c>
      <c r="N22" s="46" t="str">
        <f t="shared" si="7"/>
        <v/>
      </c>
      <c r="O22" s="51" t="e">
        <f t="shared" si="8"/>
        <v>#DIV/0!</v>
      </c>
      <c r="P22" s="56">
        <f t="shared" si="15"/>
        <v>2.7364256546248861E-6</v>
      </c>
      <c r="Q22" s="51" t="str">
        <f t="shared" si="16"/>
        <v/>
      </c>
      <c r="R22" s="40" t="str">
        <f t="shared" si="17"/>
        <v/>
      </c>
      <c r="S22" s="57">
        <f>IF(AND(E22&gt;0.95*BiasLight,E22&lt;1.05*BiasLight),"",IF(AugerModel="Sinton",calclifetimeauger(Auger_Coefficient,I22,P22),calclifetimerichter(SampleType,I22,SampleDoping,P22)))</f>
        <v>365439.73835087032</v>
      </c>
      <c r="T22" s="295" t="str">
        <f t="shared" si="18"/>
        <v/>
      </c>
      <c r="U22" s="57" t="e">
        <f t="shared" si="12"/>
        <v>#DIV/0!</v>
      </c>
      <c r="V22" s="40">
        <f>IF(AugerModel="Sinton","",IF(SampleType="n-type",n_intr_boltzmann(SampleDoping,0,K22,298.15),n_intr_boltzmann(0,SampleDoping,K22,298.15)))</f>
        <v>8342531483.6793737</v>
      </c>
      <c r="W22" s="40" t="str">
        <f t="shared" si="13"/>
        <v/>
      </c>
      <c r="X22" s="58" t="e">
        <f>IF(AND(A22&gt;TimeofMaxCD,I22&gt;Traps),IF(AugerModel="Sinton",CalcImpliedV(SampleDoping,O22),CalcImpliedVRichter(O22,SampleDoping,V22)),"")</f>
        <v>#DIV/0!</v>
      </c>
      <c r="Y22" s="37" t="e">
        <f t="shared" si="9"/>
        <v>#DIV/0!</v>
      </c>
      <c r="Z22" s="41" t="str">
        <f t="shared" si="10"/>
        <v/>
      </c>
    </row>
    <row r="23" spans="1:26">
      <c r="A23" s="53">
        <v>3.7119000000000002E-3</v>
      </c>
      <c r="B23" s="53">
        <v>3.7079500000000001E-2</v>
      </c>
      <c r="C23" s="54">
        <v>0.103226</v>
      </c>
      <c r="D23" s="58">
        <f>IF(CouplingMode="AC",B23-(A$11-A$10)*SUM(B$9:B23)/0.21,B23)</f>
        <v>3.7079500000000001E-2</v>
      </c>
      <c r="E23" s="55">
        <f t="shared" si="11"/>
        <v>9.4867019775797754</v>
      </c>
      <c r="F23" s="55">
        <f t="shared" si="0"/>
        <v>9.4867019775797754</v>
      </c>
      <c r="G23" s="56">
        <f t="shared" si="1"/>
        <v>1.5751952097604372E+18</v>
      </c>
      <c r="H23" s="77">
        <f t="shared" si="2"/>
        <v>1.2025090139614128E-3</v>
      </c>
      <c r="I23" s="56">
        <f t="shared" si="3"/>
        <v>78586723517959.187</v>
      </c>
      <c r="J23" s="56" t="str">
        <f t="shared" si="4"/>
        <v/>
      </c>
      <c r="K23" s="56">
        <f t="shared" si="5"/>
        <v>78586723517959.187</v>
      </c>
      <c r="L23" s="51">
        <f t="shared" si="14"/>
        <v>-4.7340930070777096E+16</v>
      </c>
      <c r="M23" s="46" t="str">
        <f t="shared" si="6"/>
        <v/>
      </c>
      <c r="N23" s="46" t="str">
        <f t="shared" si="7"/>
        <v/>
      </c>
      <c r="O23" s="51" t="e">
        <f t="shared" si="8"/>
        <v>#DIV/0!</v>
      </c>
      <c r="P23" s="56">
        <f t="shared" si="15"/>
        <v>2.6591449348962005E-6</v>
      </c>
      <c r="Q23" s="51" t="str">
        <f t="shared" si="16"/>
        <v/>
      </c>
      <c r="R23" s="40" t="str">
        <f t="shared" si="17"/>
        <v/>
      </c>
      <c r="S23" s="57">
        <f>IF(AND(E23&gt;0.95*BiasLight,E23&lt;1.05*BiasLight),"",IF(AugerModel="Sinton",calclifetimeauger(Auger_Coefficient,I23,P23),calclifetimerichter(SampleType,I23,SampleDoping,P23)))</f>
        <v>376060.32347413921</v>
      </c>
      <c r="T23" s="295" t="str">
        <f t="shared" si="18"/>
        <v/>
      </c>
      <c r="U23" s="57" t="e">
        <f t="shared" si="12"/>
        <v>#DIV/0!</v>
      </c>
      <c r="V23" s="40">
        <f>IF(AugerModel="Sinton","",IF(SampleType="n-type",n_intr_boltzmann(SampleDoping,0,K23,298.15),n_intr_boltzmann(0,SampleDoping,K23,298.15)))</f>
        <v>8338623971.6101236</v>
      </c>
      <c r="W23" s="40" t="str">
        <f t="shared" si="13"/>
        <v/>
      </c>
      <c r="X23" s="58" t="e">
        <f>IF(AND(A23&gt;TimeofMaxCD,I23&gt;Traps),IF(AugerModel="Sinton",CalcImpliedV(SampleDoping,O23),CalcImpliedVRichter(O23,SampleDoping,V23)),"")</f>
        <v>#DIV/0!</v>
      </c>
      <c r="Y23" s="37" t="e">
        <f t="shared" si="9"/>
        <v>#DIV/0!</v>
      </c>
      <c r="Z23" s="41" t="str">
        <f t="shared" si="10"/>
        <v/>
      </c>
    </row>
    <row r="24" spans="1:26">
      <c r="A24" s="53">
        <v>3.9678999999999999E-3</v>
      </c>
      <c r="B24" s="53">
        <v>3.2027899999999998E-2</v>
      </c>
      <c r="C24" s="54">
        <v>9.0948399999999999E-2</v>
      </c>
      <c r="D24" s="58">
        <f>IF(CouplingMode="AC",B24-(A$11-A$10)*SUM(B$9:B24)/0.21,B24)</f>
        <v>3.2027899999999998E-2</v>
      </c>
      <c r="E24" s="55">
        <f t="shared" si="11"/>
        <v>8.3583628750287371</v>
      </c>
      <c r="F24" s="55">
        <f t="shared" si="0"/>
        <v>8.3583628750287371</v>
      </c>
      <c r="G24" s="56">
        <f t="shared" si="1"/>
        <v>1.3878430241932859E+18</v>
      </c>
      <c r="H24" s="77">
        <f t="shared" si="2"/>
        <v>1.0386399419013773E-3</v>
      </c>
      <c r="I24" s="56">
        <f t="shared" si="3"/>
        <v>67861541451064.07</v>
      </c>
      <c r="J24" s="56" t="str">
        <f t="shared" si="4"/>
        <v/>
      </c>
      <c r="K24" s="56">
        <f t="shared" si="5"/>
        <v>67861541451064.07</v>
      </c>
      <c r="L24" s="51">
        <f t="shared" si="14"/>
        <v>-4.0240214574154104E+16</v>
      </c>
      <c r="M24" s="46" t="str">
        <f t="shared" si="6"/>
        <v/>
      </c>
      <c r="N24" s="46" t="str">
        <f t="shared" si="7"/>
        <v/>
      </c>
      <c r="O24" s="51" t="e">
        <f t="shared" si="8"/>
        <v>#DIV/0!</v>
      </c>
      <c r="P24" s="56">
        <f t="shared" si="15"/>
        <v>2.6062170550190191E-6</v>
      </c>
      <c r="Q24" s="51" t="str">
        <f t="shared" si="16"/>
        <v/>
      </c>
      <c r="R24" s="40" t="str">
        <f t="shared" si="17"/>
        <v/>
      </c>
      <c r="S24" s="57">
        <f>IF(AND(E24&gt;0.95*BiasLight,E24&lt;1.05*BiasLight),"",IF(AugerModel="Sinton",calclifetimeauger(Auger_Coefficient,I24,P24),calclifetimerichter(SampleType,I24,SampleDoping,P24)))</f>
        <v>383697.54148827941</v>
      </c>
      <c r="T24" s="295" t="str">
        <f t="shared" si="18"/>
        <v/>
      </c>
      <c r="U24" s="57" t="e">
        <f t="shared" si="12"/>
        <v>#DIV/0!</v>
      </c>
      <c r="V24" s="40">
        <f>IF(AugerModel="Sinton","",IF(SampleType="n-type",n_intr_boltzmann(SampleDoping,0,K24,298.15),n_intr_boltzmann(0,SampleDoping,K24,298.15)))</f>
        <v>8335322997.304985</v>
      </c>
      <c r="W24" s="40" t="str">
        <f t="shared" si="13"/>
        <v/>
      </c>
      <c r="X24" s="58" t="e">
        <f>IF(AND(A24&gt;TimeofMaxCD,I24&gt;Traps),IF(AugerModel="Sinton",CalcImpliedV(SampleDoping,O24),CalcImpliedVRichter(O24,SampleDoping,V24)),"")</f>
        <v>#DIV/0!</v>
      </c>
      <c r="Y24" s="37" t="e">
        <f t="shared" si="9"/>
        <v>#DIV/0!</v>
      </c>
      <c r="Z24" s="41" t="str">
        <f t="shared" si="10"/>
        <v/>
      </c>
    </row>
    <row r="25" spans="1:26">
      <c r="A25" s="53">
        <v>4.2239000000000001E-3</v>
      </c>
      <c r="B25" s="53">
        <v>2.7498700000000001E-2</v>
      </c>
      <c r="C25" s="54">
        <v>8.0296000000000006E-2</v>
      </c>
      <c r="D25" s="58">
        <f>IF(CouplingMode="AC",B25-(A$11-A$10)*SUM(B$9:B25)/0.21,B25)</f>
        <v>2.7498700000000001E-2</v>
      </c>
      <c r="E25" s="55">
        <f t="shared" si="11"/>
        <v>7.3793833142013225</v>
      </c>
      <c r="F25" s="55">
        <f t="shared" si="0"/>
        <v>7.3793833142013225</v>
      </c>
      <c r="G25" s="56">
        <f t="shared" si="1"/>
        <v>1.2252908624079598E+18</v>
      </c>
      <c r="H25" s="77">
        <f t="shared" si="2"/>
        <v>8.9172851774473733E-4</v>
      </c>
      <c r="I25" s="56">
        <f t="shared" si="3"/>
        <v>58250343423680.937</v>
      </c>
      <c r="J25" s="56" t="str">
        <f t="shared" si="4"/>
        <v/>
      </c>
      <c r="K25" s="56">
        <f t="shared" si="5"/>
        <v>58250343423680.937</v>
      </c>
      <c r="L25" s="51">
        <f t="shared" si="14"/>
        <v>-3.4090059457425696E+16</v>
      </c>
      <c r="M25" s="46" t="str">
        <f t="shared" si="6"/>
        <v/>
      </c>
      <c r="N25" s="46" t="str">
        <f t="shared" si="7"/>
        <v/>
      </c>
      <c r="O25" s="51" t="e">
        <f t="shared" si="8"/>
        <v>#DIV/0!</v>
      </c>
      <c r="P25" s="56">
        <f t="shared" si="15"/>
        <v>2.5338826883771142E-6</v>
      </c>
      <c r="Q25" s="51" t="str">
        <f t="shared" si="16"/>
        <v/>
      </c>
      <c r="R25" s="40" t="str">
        <f t="shared" si="17"/>
        <v/>
      </c>
      <c r="S25" s="57">
        <f>IF(AND(E25&gt;0.95*BiasLight,E25&lt;1.05*BiasLight),"",IF(AugerModel="Sinton",calclifetimeauger(Auger_Coefficient,I25,P25),calclifetimerichter(SampleType,I25,SampleDoping,P25)))</f>
        <v>394650.95872678416</v>
      </c>
      <c r="T25" s="295" t="str">
        <f t="shared" si="18"/>
        <v/>
      </c>
      <c r="U25" s="57" t="e">
        <f t="shared" si="12"/>
        <v>#DIV/0!</v>
      </c>
      <c r="V25" s="40">
        <f>IF(AugerModel="Sinton","",IF(SampleType="n-type",n_intr_boltzmann(SampleDoping,0,K25,298.15),n_intr_boltzmann(0,SampleDoping,K25,298.15)))</f>
        <v>8332241353.8775139</v>
      </c>
      <c r="W25" s="40" t="str">
        <f t="shared" si="13"/>
        <v/>
      </c>
      <c r="X25" s="58" t="e">
        <f>IF(AND(A25&gt;TimeofMaxCD,I25&gt;Traps),IF(AugerModel="Sinton",CalcImpliedV(SampleDoping,O25),CalcImpliedVRichter(O25,SampleDoping,V25)),"")</f>
        <v>#DIV/0!</v>
      </c>
      <c r="Y25" s="37" t="e">
        <f t="shared" si="9"/>
        <v>#DIV/0!</v>
      </c>
      <c r="Z25" s="41" t="str">
        <f t="shared" si="10"/>
        <v/>
      </c>
    </row>
    <row r="26" spans="1:26">
      <c r="A26" s="53">
        <v>4.4799000000000002E-3</v>
      </c>
      <c r="B26" s="53">
        <v>2.38582E-2</v>
      </c>
      <c r="C26" s="54">
        <v>7.0941100000000007E-2</v>
      </c>
      <c r="D26" s="58">
        <f>IF(CouplingMode="AC",B26-(A$11-A$10)*SUM(B$9:B26)/0.21,B26)</f>
        <v>2.38582E-2</v>
      </c>
      <c r="E26" s="55">
        <f t="shared" si="11"/>
        <v>6.5196469267595827</v>
      </c>
      <c r="F26" s="55">
        <f t="shared" si="0"/>
        <v>6.5196469267595827</v>
      </c>
      <c r="G26" s="56">
        <f t="shared" si="1"/>
        <v>1.0825381289126397E+18</v>
      </c>
      <c r="H26" s="77">
        <f t="shared" si="2"/>
        <v>7.7365129303221675E-4</v>
      </c>
      <c r="I26" s="56">
        <f t="shared" si="3"/>
        <v>50528391118858.031</v>
      </c>
      <c r="J26" s="56" t="str">
        <f t="shared" si="4"/>
        <v/>
      </c>
      <c r="K26" s="56">
        <f t="shared" si="5"/>
        <v>50528391118858.031</v>
      </c>
      <c r="L26" s="51">
        <f t="shared" si="14"/>
        <v>-2.9301785036531768E+16</v>
      </c>
      <c r="M26" s="46" t="str">
        <f t="shared" si="6"/>
        <v/>
      </c>
      <c r="N26" s="46" t="str">
        <f t="shared" si="7"/>
        <v/>
      </c>
      <c r="O26" s="51" t="e">
        <f t="shared" si="8"/>
        <v>#DIV/0!</v>
      </c>
      <c r="P26" s="56">
        <f t="shared" si="15"/>
        <v>2.4878229918241247E-6</v>
      </c>
      <c r="Q26" s="51" t="str">
        <f t="shared" si="16"/>
        <v/>
      </c>
      <c r="R26" s="40" t="str">
        <f t="shared" si="17"/>
        <v/>
      </c>
      <c r="S26" s="57">
        <f>IF(AND(E26&gt;0.95*BiasLight,E26&lt;1.05*BiasLight),"",IF(AugerModel="Sinton",calclifetimeauger(Auger_Coefficient,I26,P26),calclifetimerichter(SampleType,I26,SampleDoping,P26)))</f>
        <v>401957.59562387958</v>
      </c>
      <c r="T26" s="295" t="str">
        <f t="shared" si="18"/>
        <v/>
      </c>
      <c r="U26" s="57" t="e">
        <f t="shared" si="12"/>
        <v>#DIV/0!</v>
      </c>
      <c r="V26" s="40">
        <f>IF(AugerModel="Sinton","",IF(SampleType="n-type",n_intr_boltzmann(SampleDoping,0,K26,298.15),n_intr_boltzmann(0,SampleDoping,K26,298.15)))</f>
        <v>8329672566.1755943</v>
      </c>
      <c r="W26" s="40" t="str">
        <f t="shared" si="13"/>
        <v/>
      </c>
      <c r="X26" s="58" t="e">
        <f>IF(AND(A26&gt;TimeofMaxCD,I26&gt;Traps),IF(AugerModel="Sinton",CalcImpliedV(SampleDoping,O26),CalcImpliedVRichter(O26,SampleDoping,V26)),"")</f>
        <v>#DIV/0!</v>
      </c>
      <c r="Y26" s="37" t="e">
        <f t="shared" si="9"/>
        <v>#DIV/0!</v>
      </c>
      <c r="Z26" s="41" t="str">
        <f t="shared" si="10"/>
        <v/>
      </c>
    </row>
    <row r="27" spans="1:26">
      <c r="A27" s="53">
        <v>4.7359000000000004E-3</v>
      </c>
      <c r="B27" s="53">
        <v>2.0599099999999999E-2</v>
      </c>
      <c r="C27" s="54">
        <v>6.2833899999999998E-2</v>
      </c>
      <c r="D27" s="58">
        <f>IF(CouplingMode="AC",B27-(A$11-A$10)*SUM(B$9:B27)/0.21,B27)</f>
        <v>2.0599099999999999E-2</v>
      </c>
      <c r="E27" s="55">
        <f t="shared" si="11"/>
        <v>5.7745769804995817</v>
      </c>
      <c r="F27" s="55">
        <f t="shared" si="0"/>
        <v>5.7745769804995817</v>
      </c>
      <c r="G27" s="56">
        <f t="shared" si="1"/>
        <v>9.5882489189318874E+17</v>
      </c>
      <c r="H27" s="77">
        <f t="shared" si="2"/>
        <v>6.6795048159069143E-4</v>
      </c>
      <c r="I27" s="56">
        <f t="shared" si="3"/>
        <v>43618022578557.305</v>
      </c>
      <c r="J27" s="56" t="str">
        <f t="shared" si="4"/>
        <v/>
      </c>
      <c r="K27" s="56">
        <f t="shared" si="5"/>
        <v>43618022578557.305</v>
      </c>
      <c r="L27" s="51">
        <f t="shared" si="14"/>
        <v>-2.467343451530936E+16</v>
      </c>
      <c r="M27" s="46" t="str">
        <f t="shared" si="6"/>
        <v/>
      </c>
      <c r="N27" s="46" t="str">
        <f t="shared" si="7"/>
        <v/>
      </c>
      <c r="O27" s="51" t="e">
        <f t="shared" si="8"/>
        <v>#DIV/0!</v>
      </c>
      <c r="P27" s="56">
        <f t="shared" si="15"/>
        <v>2.424676938504103E-6</v>
      </c>
      <c r="Q27" s="51" t="str">
        <f t="shared" si="16"/>
        <v/>
      </c>
      <c r="R27" s="40" t="str">
        <f t="shared" si="17"/>
        <v/>
      </c>
      <c r="S27" s="57">
        <f>IF(AND(E27&gt;0.95*BiasLight,E27&lt;1.05*BiasLight),"",IF(AugerModel="Sinton",calclifetimeauger(Auger_Coefficient,I27,P27),calclifetimerichter(SampleType,I27,SampleDoping,P27)))</f>
        <v>412425.85235884879</v>
      </c>
      <c r="T27" s="295" t="str">
        <f t="shared" si="18"/>
        <v/>
      </c>
      <c r="U27" s="57" t="e">
        <f t="shared" si="12"/>
        <v>#DIV/0!</v>
      </c>
      <c r="V27" s="40">
        <f>IF(AugerModel="Sinton","",IF(SampleType="n-type",n_intr_boltzmann(SampleDoping,0,K27,298.15),n_intr_boltzmann(0,SampleDoping,K27,298.15)))</f>
        <v>8327297991.9867802</v>
      </c>
      <c r="W27" s="40" t="str">
        <f t="shared" si="13"/>
        <v/>
      </c>
      <c r="X27" s="58" t="e">
        <f>IF(AND(A27&gt;TimeofMaxCD,I27&gt;Traps),IF(AugerModel="Sinton",CalcImpliedV(SampleDoping,O27),CalcImpliedVRichter(O27,SampleDoping,V27)),"")</f>
        <v>#DIV/0!</v>
      </c>
      <c r="Y27" s="37" t="e">
        <f t="shared" si="9"/>
        <v>#DIV/0!</v>
      </c>
      <c r="Z27" s="41" t="str">
        <f t="shared" si="10"/>
        <v/>
      </c>
    </row>
    <row r="28" spans="1:26">
      <c r="A28" s="53">
        <v>4.9918999999999996E-3</v>
      </c>
      <c r="B28" s="53">
        <v>1.77936E-2</v>
      </c>
      <c r="C28" s="54">
        <v>5.5670400000000002E-2</v>
      </c>
      <c r="D28" s="58">
        <f>IF(CouplingMode="AC",B28-(A$11-A$10)*SUM(B$9:B28)/0.21,B28)</f>
        <v>1.77936E-2</v>
      </c>
      <c r="E28" s="55">
        <f t="shared" si="11"/>
        <v>5.1162351904816337</v>
      </c>
      <c r="F28" s="55">
        <f t="shared" si="0"/>
        <v>5.1162351904816337</v>
      </c>
      <c r="G28" s="56">
        <f t="shared" si="1"/>
        <v>8.4951221015487795E+17</v>
      </c>
      <c r="H28" s="77">
        <f t="shared" si="2"/>
        <v>5.7696556497626589E-4</v>
      </c>
      <c r="I28" s="56">
        <f t="shared" si="3"/>
        <v>37671417026865.234</v>
      </c>
      <c r="J28" s="56" t="str">
        <f t="shared" si="4"/>
        <v/>
      </c>
      <c r="K28" s="56">
        <f t="shared" si="5"/>
        <v>37671417026865.234</v>
      </c>
      <c r="L28" s="51">
        <f t="shared" si="14"/>
        <v>-2.1136937114684416E+16</v>
      </c>
      <c r="M28" s="46" t="str">
        <f t="shared" si="6"/>
        <v/>
      </c>
      <c r="N28" s="46" t="str">
        <f t="shared" si="7"/>
        <v/>
      </c>
      <c r="O28" s="51" t="e">
        <f t="shared" si="8"/>
        <v>#DIV/0!</v>
      </c>
      <c r="P28" s="56">
        <f t="shared" si="15"/>
        <v>2.3635758303766479E-6</v>
      </c>
      <c r="Q28" s="51" t="str">
        <f t="shared" si="16"/>
        <v/>
      </c>
      <c r="R28" s="40" t="str">
        <f t="shared" si="17"/>
        <v/>
      </c>
      <c r="S28" s="57">
        <f>IF(AND(E28&gt;0.95*BiasLight,E28&lt;1.05*BiasLight),"",IF(AugerModel="Sinton",calclifetimeauger(Auger_Coefficient,I28,P28),calclifetimerichter(SampleType,I28,SampleDoping,P28)))</f>
        <v>423087.56408582121</v>
      </c>
      <c r="T28" s="295" t="str">
        <f t="shared" si="18"/>
        <v/>
      </c>
      <c r="U28" s="57" t="e">
        <f t="shared" si="12"/>
        <v>#DIV/0!</v>
      </c>
      <c r="V28" s="40">
        <f>IF(AugerModel="Sinton","",IF(SampleType="n-type",n_intr_boltzmann(SampleDoping,0,K28,298.15),n_intr_boltzmann(0,SampleDoping,K28,298.15)))</f>
        <v>8325193977.3818102</v>
      </c>
      <c r="W28" s="40" t="str">
        <f t="shared" si="13"/>
        <v/>
      </c>
      <c r="X28" s="58" t="e">
        <f>IF(AND(A28&gt;TimeofMaxCD,I28&gt;Traps),IF(AugerModel="Sinton",CalcImpliedV(SampleDoping,O28),CalcImpliedVRichter(O28,SampleDoping,V28)),"")</f>
        <v>#DIV/0!</v>
      </c>
      <c r="Y28" s="37" t="e">
        <f t="shared" si="9"/>
        <v>#DIV/0!</v>
      </c>
      <c r="Z28" s="41" t="str">
        <f t="shared" si="10"/>
        <v/>
      </c>
    </row>
    <row r="29" spans="1:26">
      <c r="A29" s="53">
        <v>5.2478999999999998E-3</v>
      </c>
      <c r="B29" s="53">
        <v>1.5634800000000001E-2</v>
      </c>
      <c r="C29" s="54">
        <v>4.9349700000000003E-2</v>
      </c>
      <c r="D29" s="58">
        <f>IF(CouplingMode="AC",B29-(A$11-A$10)*SUM(B$9:B29)/0.21,B29)</f>
        <v>1.5634800000000001E-2</v>
      </c>
      <c r="E29" s="55">
        <f t="shared" si="11"/>
        <v>4.5353486193688477</v>
      </c>
      <c r="F29" s="55">
        <f t="shared" si="0"/>
        <v>4.5353486193688477</v>
      </c>
      <c r="G29" s="56">
        <f t="shared" si="1"/>
        <v>7.5306038249195584E+17</v>
      </c>
      <c r="H29" s="77">
        <f t="shared" si="2"/>
        <v>5.0695655563502001E-4</v>
      </c>
      <c r="I29" s="56">
        <f t="shared" si="3"/>
        <v>33096834290081.367</v>
      </c>
      <c r="J29" s="56" t="str">
        <f t="shared" si="4"/>
        <v/>
      </c>
      <c r="K29" s="56">
        <f t="shared" si="5"/>
        <v>33096834290081.367</v>
      </c>
      <c r="L29" s="51">
        <f t="shared" si="14"/>
        <v>-1.8261348022968508E+16</v>
      </c>
      <c r="M29" s="46" t="str">
        <f t="shared" si="6"/>
        <v/>
      </c>
      <c r="N29" s="46" t="str">
        <f t="shared" si="7"/>
        <v/>
      </c>
      <c r="O29" s="51" t="e">
        <f t="shared" si="8"/>
        <v>#DIV/0!</v>
      </c>
      <c r="P29" s="56">
        <f t="shared" si="15"/>
        <v>2.3425230017065469E-6</v>
      </c>
      <c r="Q29" s="51" t="str">
        <f t="shared" si="16"/>
        <v/>
      </c>
      <c r="R29" s="40" t="str">
        <f t="shared" si="17"/>
        <v/>
      </c>
      <c r="S29" s="57">
        <f>IF(AND(E29&gt;0.95*BiasLight,E29&lt;1.05*BiasLight),"",IF(AugerModel="Sinton",calclifetimeauger(Auger_Coefficient,I29,P29),calclifetimerichter(SampleType,I29,SampleDoping,P29)))</f>
        <v>426889.98143353639</v>
      </c>
      <c r="T29" s="295" t="str">
        <f t="shared" si="18"/>
        <v/>
      </c>
      <c r="U29" s="57" t="e">
        <f t="shared" si="12"/>
        <v>#DIV/0!</v>
      </c>
      <c r="V29" s="40">
        <f>IF(AugerModel="Sinton","",IF(SampleType="n-type",n_intr_boltzmann(SampleDoping,0,K29,298.15),n_intr_boltzmann(0,SampleDoping,K29,298.15)))</f>
        <v>8323535905.4259186</v>
      </c>
      <c r="W29" s="40" t="str">
        <f t="shared" si="13"/>
        <v/>
      </c>
      <c r="X29" s="58" t="e">
        <f>IF(AND(A29&gt;TimeofMaxCD,I29&gt;Traps),IF(AugerModel="Sinton",CalcImpliedV(SampleDoping,O29),CalcImpliedVRichter(O29,SampleDoping,V29)),"")</f>
        <v>#DIV/0!</v>
      </c>
      <c r="Y29" s="37" t="e">
        <f t="shared" si="9"/>
        <v>#DIV/0!</v>
      </c>
      <c r="Z29" s="41" t="str">
        <f t="shared" si="10"/>
        <v/>
      </c>
    </row>
    <row r="30" spans="1:26">
      <c r="A30" s="53">
        <v>5.5038999999999999E-3</v>
      </c>
      <c r="B30" s="53">
        <v>1.35753E-2</v>
      </c>
      <c r="C30" s="54">
        <v>4.3793199999999997E-2</v>
      </c>
      <c r="D30" s="58">
        <f>IF(CouplingMode="AC",B30-(A$11-A$10)*SUM(B$9:B30)/0.21,B30)</f>
        <v>1.35753E-2</v>
      </c>
      <c r="E30" s="55">
        <f t="shared" si="11"/>
        <v>4.0246937500682636</v>
      </c>
      <c r="F30" s="55">
        <f t="shared" si="0"/>
        <v>4.0246937500682636</v>
      </c>
      <c r="G30" s="56">
        <f t="shared" si="1"/>
        <v>6.6826999845078541E+17</v>
      </c>
      <c r="H30" s="77">
        <f t="shared" si="2"/>
        <v>4.4017010574039922E-4</v>
      </c>
      <c r="I30" s="56">
        <f t="shared" si="3"/>
        <v>28733705756299.961</v>
      </c>
      <c r="J30" s="56" t="str">
        <f t="shared" si="4"/>
        <v/>
      </c>
      <c r="K30" s="56">
        <f t="shared" si="5"/>
        <v>28733705756299.961</v>
      </c>
      <c r="L30" s="51">
        <f t="shared" si="14"/>
        <v>-1.5724418002160038E+16</v>
      </c>
      <c r="M30" s="46" t="str">
        <f t="shared" si="6"/>
        <v/>
      </c>
      <c r="N30" s="46" t="str">
        <f t="shared" si="7"/>
        <v/>
      </c>
      <c r="O30" s="51" t="e">
        <f t="shared" si="8"/>
        <v>#DIV/0!</v>
      </c>
      <c r="P30" s="56">
        <f t="shared" si="15"/>
        <v>2.2917481262980496E-6</v>
      </c>
      <c r="Q30" s="51" t="str">
        <f t="shared" si="16"/>
        <v/>
      </c>
      <c r="R30" s="40" t="str">
        <f t="shared" si="17"/>
        <v/>
      </c>
      <c r="S30" s="57">
        <f>IF(AND(E30&gt;0.95*BiasLight,E30&lt;1.05*BiasLight),"",IF(AugerModel="Sinton",calclifetimeauger(Auger_Coefficient,I30,P30),calclifetimerichter(SampleType,I30,SampleDoping,P30)))</f>
        <v>436347.97819264926</v>
      </c>
      <c r="T30" s="295" t="str">
        <f t="shared" si="18"/>
        <v/>
      </c>
      <c r="U30" s="57" t="e">
        <f t="shared" si="12"/>
        <v>#DIV/0!</v>
      </c>
      <c r="V30" s="40">
        <f>IF(AugerModel="Sinton","",IF(SampleType="n-type",n_intr_boltzmann(SampleDoping,0,K30,298.15),n_intr_boltzmann(0,SampleDoping,K30,298.15)))</f>
        <v>8321922110.8508873</v>
      </c>
      <c r="W30" s="40" t="str">
        <f t="shared" si="13"/>
        <v/>
      </c>
      <c r="X30" s="58" t="e">
        <f>IF(AND(A30&gt;TimeofMaxCD,I30&gt;Traps),IF(AugerModel="Sinton",CalcImpliedV(SampleDoping,O30),CalcImpliedVRichter(O30,SampleDoping,V30)),"")</f>
        <v>#DIV/0!</v>
      </c>
      <c r="Y30" s="37" t="e">
        <f t="shared" si="9"/>
        <v>#DIV/0!</v>
      </c>
      <c r="Z30" s="41" t="str">
        <f t="shared" si="10"/>
        <v/>
      </c>
    </row>
    <row r="31" spans="1:26">
      <c r="A31" s="53">
        <v>5.7599000000000001E-3</v>
      </c>
      <c r="B31" s="53">
        <v>1.16767E-2</v>
      </c>
      <c r="C31" s="54">
        <v>3.8832899999999997E-2</v>
      </c>
      <c r="D31" s="58">
        <f>IF(CouplingMode="AC",B31-(A$11-A$10)*SUM(B$9:B31)/0.21,B31)</f>
        <v>1.16767E-2</v>
      </c>
      <c r="E31" s="55">
        <f t="shared" si="11"/>
        <v>3.568831004060582</v>
      </c>
      <c r="F31" s="55">
        <f t="shared" si="0"/>
        <v>3.568831004060582</v>
      </c>
      <c r="G31" s="56">
        <f t="shared" si="1"/>
        <v>5.9257743263427891E+17</v>
      </c>
      <c r="H31" s="77">
        <f t="shared" si="2"/>
        <v>3.7860338802293142E-4</v>
      </c>
      <c r="I31" s="56">
        <f t="shared" si="3"/>
        <v>24712352744440.254</v>
      </c>
      <c r="J31" s="56" t="str">
        <f t="shared" si="4"/>
        <v/>
      </c>
      <c r="K31" s="56">
        <f t="shared" si="5"/>
        <v>24712352744440.254</v>
      </c>
      <c r="L31" s="51">
        <f t="shared" si="14"/>
        <v>-1.3904660720191116E+16</v>
      </c>
      <c r="M31" s="46" t="str">
        <f t="shared" si="6"/>
        <v/>
      </c>
      <c r="N31" s="46" t="str">
        <f t="shared" si="7"/>
        <v/>
      </c>
      <c r="O31" s="51" t="e">
        <f t="shared" si="8"/>
        <v>#DIV/0!</v>
      </c>
      <c r="P31" s="56">
        <f t="shared" si="15"/>
        <v>2.2227785412334166E-6</v>
      </c>
      <c r="Q31" s="51" t="str">
        <f t="shared" si="16"/>
        <v/>
      </c>
      <c r="R31" s="40" t="str">
        <f t="shared" si="17"/>
        <v/>
      </c>
      <c r="S31" s="57">
        <f>IF(AND(E31&gt;0.95*BiasLight,E31&lt;1.05*BiasLight),"",IF(AugerModel="Sinton",calclifetimeauger(Auger_Coefficient,I31,P31),calclifetimerichter(SampleType,I31,SampleDoping,P31)))</f>
        <v>449887.24673740246</v>
      </c>
      <c r="T31" s="295" t="str">
        <f t="shared" si="18"/>
        <v/>
      </c>
      <c r="U31" s="57" t="e">
        <f t="shared" si="12"/>
        <v>#DIV/0!</v>
      </c>
      <c r="V31" s="40">
        <f>IF(AugerModel="Sinton","",IF(SampleType="n-type",n_intr_boltzmann(SampleDoping,0,K31,298.15),n_intr_boltzmann(0,SampleDoping,K31,298.15)))</f>
        <v>8320407192.1994581</v>
      </c>
      <c r="W31" s="40" t="str">
        <f t="shared" si="13"/>
        <v/>
      </c>
      <c r="X31" s="58" t="e">
        <f>IF(AND(A31&gt;TimeofMaxCD,I31&gt;Traps),IF(AugerModel="Sinton",CalcImpliedV(SampleDoping,O31),CalcImpliedVRichter(O31,SampleDoping,V31)),"")</f>
        <v>#DIV/0!</v>
      </c>
      <c r="Y31" s="37" t="e">
        <f t="shared" si="9"/>
        <v>#DIV/0!</v>
      </c>
      <c r="Z31" s="41" t="str">
        <f t="shared" si="10"/>
        <v/>
      </c>
    </row>
    <row r="32" spans="1:26">
      <c r="A32" s="53">
        <v>6.0159000000000002E-3</v>
      </c>
      <c r="B32" s="53">
        <v>1.02714E-2</v>
      </c>
      <c r="C32" s="54">
        <v>3.4479999999999997E-2</v>
      </c>
      <c r="D32" s="58">
        <f>IF(CouplingMode="AC",B32-(A$11-A$10)*SUM(B$9:B32)/0.21,B32)</f>
        <v>1.02714E-2</v>
      </c>
      <c r="E32" s="55">
        <f t="shared" si="11"/>
        <v>3.1687896865804217</v>
      </c>
      <c r="F32" s="55">
        <f t="shared" si="0"/>
        <v>3.1687896865804217</v>
      </c>
      <c r="G32" s="56">
        <f t="shared" si="1"/>
        <v>5.261535934022423E+17</v>
      </c>
      <c r="H32" s="77">
        <f t="shared" si="2"/>
        <v>3.3303435086410454E-4</v>
      </c>
      <c r="I32" s="56">
        <f t="shared" si="3"/>
        <v>21736402756920.93</v>
      </c>
      <c r="J32" s="56" t="str">
        <f t="shared" si="4"/>
        <v/>
      </c>
      <c r="K32" s="56">
        <f t="shared" si="5"/>
        <v>21736402756920.93</v>
      </c>
      <c r="L32" s="51">
        <f t="shared" si="14"/>
        <v>-1.134287976505663E+16</v>
      </c>
      <c r="M32" s="46" t="str">
        <f t="shared" si="6"/>
        <v/>
      </c>
      <c r="N32" s="46" t="str">
        <f t="shared" si="7"/>
        <v/>
      </c>
      <c r="O32" s="51" t="e">
        <f t="shared" si="8"/>
        <v>#DIV/0!</v>
      </c>
      <c r="P32" s="56">
        <f t="shared" si="15"/>
        <v>2.201924079720536E-6</v>
      </c>
      <c r="Q32" s="51" t="str">
        <f t="shared" si="16"/>
        <v/>
      </c>
      <c r="R32" s="40" t="str">
        <f t="shared" si="17"/>
        <v/>
      </c>
      <c r="S32" s="57">
        <f>IF(AND(E32&gt;0.95*BiasLight,E32&lt;1.05*BiasLight),"",IF(AugerModel="Sinton",calclifetimeauger(Auger_Coefficient,I32,P32),calclifetimerichter(SampleType,I32,SampleDoping,P32)))</f>
        <v>454148.1533335328</v>
      </c>
      <c r="T32" s="295" t="str">
        <f t="shared" si="18"/>
        <v/>
      </c>
      <c r="U32" s="57" t="e">
        <f t="shared" si="12"/>
        <v>#DIV/0!</v>
      </c>
      <c r="V32" s="40">
        <f>IF(AugerModel="Sinton","",IF(SampleType="n-type",n_intr_boltzmann(SampleDoping,0,K32,298.15),n_intr_boltzmann(0,SampleDoping,K32,298.15)))</f>
        <v>8319269890.5523081</v>
      </c>
      <c r="W32" s="40" t="str">
        <f t="shared" si="13"/>
        <v/>
      </c>
      <c r="X32" s="58" t="e">
        <f>IF(AND(A32&gt;TimeofMaxCD,I32&gt;Traps),IF(AugerModel="Sinton",CalcImpliedV(SampleDoping,O32),CalcImpliedVRichter(O32,SampleDoping,V32)),"")</f>
        <v>#DIV/0!</v>
      </c>
      <c r="Y32" s="37" t="e">
        <f t="shared" si="9"/>
        <v>#DIV/0!</v>
      </c>
      <c r="Z32" s="41" t="str">
        <f t="shared" si="10"/>
        <v/>
      </c>
    </row>
    <row r="33" spans="1:26">
      <c r="A33" s="53">
        <v>6.2719000000000004E-3</v>
      </c>
      <c r="B33" s="53">
        <v>8.8833799999999997E-3</v>
      </c>
      <c r="C33" s="54">
        <v>3.07523E-2</v>
      </c>
      <c r="D33" s="58">
        <f>IF(CouplingMode="AC",B33-(A$11-A$10)*SUM(B$9:B33)/0.21,B33)</f>
        <v>8.8833799999999997E-3</v>
      </c>
      <c r="E33" s="55">
        <f t="shared" si="11"/>
        <v>2.826205657732805</v>
      </c>
      <c r="F33" s="55">
        <f t="shared" si="0"/>
        <v>2.826205657732805</v>
      </c>
      <c r="G33" s="56">
        <f t="shared" si="1"/>
        <v>4.6927010296936704E+17</v>
      </c>
      <c r="H33" s="77">
        <f t="shared" si="2"/>
        <v>2.8802667133854404E-4</v>
      </c>
      <c r="I33" s="56">
        <f t="shared" si="3"/>
        <v>18797520067926.242</v>
      </c>
      <c r="J33" s="56" t="str">
        <f t="shared" si="4"/>
        <v/>
      </c>
      <c r="K33" s="56">
        <f t="shared" si="5"/>
        <v>18797520067926.242</v>
      </c>
      <c r="L33" s="51">
        <f t="shared" si="14"/>
        <v>-9643138496899608</v>
      </c>
      <c r="M33" s="46" t="str">
        <f t="shared" si="6"/>
        <v/>
      </c>
      <c r="N33" s="46" t="str">
        <f t="shared" si="7"/>
        <v/>
      </c>
      <c r="O33" s="51" t="e">
        <f t="shared" si="8"/>
        <v>#DIV/0!</v>
      </c>
      <c r="P33" s="56">
        <f t="shared" si="15"/>
        <v>2.1350344146809438E-6</v>
      </c>
      <c r="Q33" s="51" t="str">
        <f t="shared" si="16"/>
        <v/>
      </c>
      <c r="R33" s="40" t="str">
        <f t="shared" si="17"/>
        <v/>
      </c>
      <c r="S33" s="57">
        <f>IF(AND(E33&gt;0.95*BiasLight,E33&lt;1.05*BiasLight),"",IF(AugerModel="Sinton",calclifetimeauger(Auger_Coefficient,I33,P33),calclifetimerichter(SampleType,I33,SampleDoping,P33)))</f>
        <v>468376.42876632442</v>
      </c>
      <c r="T33" s="295" t="str">
        <f t="shared" si="18"/>
        <v/>
      </c>
      <c r="U33" s="57" t="e">
        <f t="shared" si="12"/>
        <v>#DIV/0!</v>
      </c>
      <c r="V33" s="40">
        <f>IF(AugerModel="Sinton","",IF(SampleType="n-type",n_intr_boltzmann(SampleDoping,0,K33,298.15),n_intr_boltzmann(0,SampleDoping,K33,298.15)))</f>
        <v>8318134398.3136683</v>
      </c>
      <c r="W33" s="40" t="str">
        <f t="shared" si="13"/>
        <v/>
      </c>
      <c r="X33" s="58" t="e">
        <f>IF(AND(A33&gt;TimeofMaxCD,I33&gt;Traps),IF(AugerModel="Sinton",CalcImpliedV(SampleDoping,O33),CalcImpliedVRichter(O33,SampleDoping,V33)),"")</f>
        <v>#DIV/0!</v>
      </c>
      <c r="Y33" s="37" t="e">
        <f t="shared" si="9"/>
        <v>#DIV/0!</v>
      </c>
      <c r="Z33" s="41" t="str">
        <f t="shared" si="10"/>
        <v/>
      </c>
    </row>
    <row r="34" spans="1:26">
      <c r="A34" s="53">
        <v>6.5278999999999997E-3</v>
      </c>
      <c r="B34" s="53">
        <v>8.1156700000000002E-3</v>
      </c>
      <c r="C34" s="54">
        <v>2.7345700000000001E-2</v>
      </c>
      <c r="D34" s="58">
        <f>IF(CouplingMode="AC",B34-(A$11-A$10)*SUM(B$9:B34)/0.21,B34)</f>
        <v>8.1156700000000002E-3</v>
      </c>
      <c r="E34" s="55">
        <f t="shared" si="11"/>
        <v>2.5131314423527336</v>
      </c>
      <c r="F34" s="55">
        <f t="shared" si="0"/>
        <v>2.5131314423527336</v>
      </c>
      <c r="G34" s="56">
        <f t="shared" si="1"/>
        <v>4.1728649417342509E+17</v>
      </c>
      <c r="H34" s="77">
        <f t="shared" si="2"/>
        <v>2.6313348729809644E-4</v>
      </c>
      <c r="I34" s="56">
        <f t="shared" si="3"/>
        <v>17172235995284.484</v>
      </c>
      <c r="J34" s="56" t="str">
        <f t="shared" si="4"/>
        <v/>
      </c>
      <c r="K34" s="56">
        <f t="shared" si="5"/>
        <v>17172235995284.484</v>
      </c>
      <c r="L34" s="51">
        <f t="shared" si="14"/>
        <v>-8607318168182243</v>
      </c>
      <c r="M34" s="46" t="str">
        <f t="shared" si="6"/>
        <v/>
      </c>
      <c r="N34" s="46" t="str">
        <f t="shared" si="7"/>
        <v/>
      </c>
      <c r="O34" s="51" t="e">
        <f t="shared" si="8"/>
        <v>#DIV/0!</v>
      </c>
      <c r="P34" s="56">
        <f t="shared" si="15"/>
        <v>2.1934095431525532E-6</v>
      </c>
      <c r="Q34" s="51" t="str">
        <f t="shared" si="16"/>
        <v/>
      </c>
      <c r="R34" s="40" t="str">
        <f t="shared" si="17"/>
        <v/>
      </c>
      <c r="S34" s="57">
        <f>IF(AND(E34&gt;0.95*BiasLight,E34&lt;1.05*BiasLight),"",IF(AugerModel="Sinton",calclifetimeauger(Auger_Coefficient,I34,P34),calclifetimerichter(SampleType,I34,SampleDoping,P34)))</f>
        <v>455911.12262532907</v>
      </c>
      <c r="T34" s="295" t="str">
        <f t="shared" si="18"/>
        <v/>
      </c>
      <c r="U34" s="57" t="e">
        <f t="shared" si="12"/>
        <v>#DIV/0!</v>
      </c>
      <c r="V34" s="40">
        <f>IF(AugerModel="Sinton","",IF(SampleType="n-type",n_intr_boltzmann(SampleDoping,0,K34,298.15),n_intr_boltzmann(0,SampleDoping,K34,298.15)))</f>
        <v>8317501775.7865992</v>
      </c>
      <c r="W34" s="40" t="str">
        <f t="shared" si="13"/>
        <v/>
      </c>
      <c r="X34" s="58" t="e">
        <f>IF(AND(A34&gt;TimeofMaxCD,I34&gt;Traps),IF(AugerModel="Sinton",CalcImpliedV(SampleDoping,O34),CalcImpliedVRichter(O34,SampleDoping,V34)),"")</f>
        <v>#DIV/0!</v>
      </c>
      <c r="Y34" s="37" t="e">
        <f t="shared" si="9"/>
        <v>#DIV/0!</v>
      </c>
      <c r="Z34" s="41" t="str">
        <f t="shared" si="10"/>
        <v/>
      </c>
    </row>
    <row r="35" spans="1:26">
      <c r="A35" s="53">
        <v>6.7838999999999998E-3</v>
      </c>
      <c r="B35" s="53">
        <v>6.9247199999999997E-3</v>
      </c>
      <c r="C35" s="54">
        <v>2.43073E-2</v>
      </c>
      <c r="D35" s="58">
        <f>IF(CouplingMode="AC",B35-(A$11-A$10)*SUM(B$9:B35)/0.21,B35)</f>
        <v>6.9247199999999997E-3</v>
      </c>
      <c r="E35" s="55">
        <f t="shared" si="11"/>
        <v>2.2338956365607974</v>
      </c>
      <c r="F35" s="55">
        <f t="shared" si="0"/>
        <v>2.2338956365607974</v>
      </c>
      <c r="G35" s="56">
        <f t="shared" si="1"/>
        <v>3.7092149770609997E+17</v>
      </c>
      <c r="H35" s="77">
        <f t="shared" si="2"/>
        <v>2.2451726074922129E-4</v>
      </c>
      <c r="I35" s="56">
        <f t="shared" si="3"/>
        <v>14651218849226.986</v>
      </c>
      <c r="J35" s="56" t="str">
        <f t="shared" si="4"/>
        <v/>
      </c>
      <c r="K35" s="56">
        <f t="shared" si="5"/>
        <v>14651218849226.986</v>
      </c>
      <c r="L35" s="51">
        <f t="shared" si="14"/>
        <v>-7299835121887784</v>
      </c>
      <c r="M35" s="46" t="str">
        <f t="shared" si="6"/>
        <v/>
      </c>
      <c r="N35" s="46" t="str">
        <f t="shared" si="7"/>
        <v/>
      </c>
      <c r="O35" s="51" t="e">
        <f t="shared" si="8"/>
        <v>#DIV/0!</v>
      </c>
      <c r="P35" s="56">
        <f t="shared" si="15"/>
        <v>2.1053240901193414E-6</v>
      </c>
      <c r="Q35" s="51" t="str">
        <f t="shared" si="16"/>
        <v/>
      </c>
      <c r="R35" s="40" t="str">
        <f t="shared" si="17"/>
        <v/>
      </c>
      <c r="S35" s="57">
        <f>IF(AND(E35&gt;0.95*BiasLight,E35&lt;1.05*BiasLight),"",IF(AugerModel="Sinton",calclifetimeauger(Auger_Coefficient,I35,P35),calclifetimerichter(SampleType,I35,SampleDoping,P35)))</f>
        <v>474986.17763560935</v>
      </c>
      <c r="T35" s="295" t="str">
        <f t="shared" si="18"/>
        <v/>
      </c>
      <c r="U35" s="57" t="e">
        <f t="shared" si="12"/>
        <v>#DIV/0!</v>
      </c>
      <c r="V35" s="40">
        <f>IF(AugerModel="Sinton","",IF(SampleType="n-type",n_intr_boltzmann(SampleDoping,0,K35,298.15),n_intr_boltzmann(0,SampleDoping,K35,298.15)))</f>
        <v>8316515118.7906132</v>
      </c>
      <c r="W35" s="40" t="str">
        <f t="shared" si="13"/>
        <v/>
      </c>
      <c r="X35" s="58" t="e">
        <f>IF(AND(A35&gt;TimeofMaxCD,I35&gt;Traps),IF(AugerModel="Sinton",CalcImpliedV(SampleDoping,O35),CalcImpliedVRichter(O35,SampleDoping,V35)),"")</f>
        <v>#DIV/0!</v>
      </c>
      <c r="Y35" s="37" t="e">
        <f t="shared" si="9"/>
        <v>#DIV/0!</v>
      </c>
      <c r="Z35" s="41" t="str">
        <f t="shared" si="10"/>
        <v/>
      </c>
    </row>
    <row r="36" spans="1:26">
      <c r="A36" s="53">
        <v>7.0399E-3</v>
      </c>
      <c r="B36" s="53">
        <v>6.0463899999999996E-3</v>
      </c>
      <c r="C36" s="54">
        <v>2.1648299999999999E-2</v>
      </c>
      <c r="D36" s="58">
        <f>IF(CouplingMode="AC",B36-(A$11-A$10)*SUM(B$9:B36)/0.21,B36)</f>
        <v>6.0463899999999996E-3</v>
      </c>
      <c r="E36" s="55">
        <f t="shared" si="11"/>
        <v>1.9895275455916168</v>
      </c>
      <c r="F36" s="55">
        <f t="shared" si="0"/>
        <v>1.9895275455916168</v>
      </c>
      <c r="G36" s="56">
        <f t="shared" si="1"/>
        <v>3.3034602192719731E+17</v>
      </c>
      <c r="H36" s="77">
        <f t="shared" si="2"/>
        <v>1.9603813313107121E-4</v>
      </c>
      <c r="I36" s="56">
        <f t="shared" si="3"/>
        <v>12792186110997.291</v>
      </c>
      <c r="J36" s="56" t="str">
        <f t="shared" si="4"/>
        <v/>
      </c>
      <c r="K36" s="56">
        <f t="shared" si="5"/>
        <v>12792186110997.291</v>
      </c>
      <c r="L36" s="51">
        <f t="shared" si="14"/>
        <v>-6493553203415217</v>
      </c>
      <c r="M36" s="46" t="str">
        <f t="shared" si="6"/>
        <v/>
      </c>
      <c r="N36" s="46" t="str">
        <f t="shared" si="7"/>
        <v/>
      </c>
      <c r="O36" s="51" t="e">
        <f t="shared" si="8"/>
        <v>#DIV/0!</v>
      </c>
      <c r="P36" s="56">
        <f t="shared" si="15"/>
        <v>2.0639677019220107E-6</v>
      </c>
      <c r="Q36" s="51" t="str">
        <f t="shared" si="16"/>
        <v/>
      </c>
      <c r="R36" s="40" t="str">
        <f t="shared" si="17"/>
        <v/>
      </c>
      <c r="S36" s="57">
        <f>IF(AND(E36&gt;0.95*BiasLight,E36&lt;1.05*BiasLight),"",IF(AugerModel="Sinton",calclifetimeauger(Auger_Coefficient,I36,P36),calclifetimerichter(SampleType,I36,SampleDoping,P36)))</f>
        <v>484503.6403075484</v>
      </c>
      <c r="T36" s="295" t="str">
        <f t="shared" si="18"/>
        <v/>
      </c>
      <c r="U36" s="57" t="e">
        <f t="shared" si="12"/>
        <v>#DIV/0!</v>
      </c>
      <c r="V36" s="40">
        <f>IF(AugerModel="Sinton","",IF(SampleType="n-type",n_intr_boltzmann(SampleDoping,0,K36,298.15),n_intr_boltzmann(0,SampleDoping,K36,298.15)))</f>
        <v>8315784451.1902151</v>
      </c>
      <c r="W36" s="40" t="str">
        <f t="shared" si="13"/>
        <v/>
      </c>
      <c r="X36" s="58" t="e">
        <f>IF(AND(A36&gt;TimeofMaxCD,I36&gt;Traps),IF(AugerModel="Sinton",CalcImpliedV(SampleDoping,O36),CalcImpliedVRichter(O36,SampleDoping,V36)),"")</f>
        <v>#DIV/0!</v>
      </c>
      <c r="Y36" s="37" t="e">
        <f t="shared" si="9"/>
        <v>#DIV/0!</v>
      </c>
      <c r="Z36" s="41" t="str">
        <f t="shared" si="10"/>
        <v/>
      </c>
    </row>
    <row r="37" spans="1:26">
      <c r="A37" s="53">
        <v>7.2959000000000001E-3</v>
      </c>
      <c r="B37" s="53">
        <v>5.50375E-3</v>
      </c>
      <c r="C37" s="54">
        <v>1.9240500000000001E-2</v>
      </c>
      <c r="D37" s="58">
        <f>IF(CouplingMode="AC",B37-(A$11-A$10)*SUM(B$9:B37)/0.21,B37)</f>
        <v>5.50375E-3</v>
      </c>
      <c r="E37" s="55">
        <f t="shared" si="11"/>
        <v>1.7682453005989158</v>
      </c>
      <c r="F37" s="55">
        <f t="shared" si="0"/>
        <v>1.7682453005989158</v>
      </c>
      <c r="G37" s="56">
        <f t="shared" si="1"/>
        <v>2.9360377650393984E+17</v>
      </c>
      <c r="H37" s="77">
        <f t="shared" si="2"/>
        <v>1.7844368177831471E-4</v>
      </c>
      <c r="I37" s="56">
        <f t="shared" si="3"/>
        <v>11643756054053.477</v>
      </c>
      <c r="J37" s="56" t="str">
        <f t="shared" si="4"/>
        <v/>
      </c>
      <c r="K37" s="56">
        <f t="shared" si="5"/>
        <v>11643756054053.477</v>
      </c>
      <c r="L37" s="51">
        <f t="shared" si="14"/>
        <v>-5187159713987873</v>
      </c>
      <c r="M37" s="46" t="str">
        <f t="shared" si="6"/>
        <v/>
      </c>
      <c r="N37" s="46" t="str">
        <f t="shared" si="7"/>
        <v/>
      </c>
      <c r="O37" s="51" t="e">
        <f t="shared" si="8"/>
        <v>#DIV/0!</v>
      </c>
      <c r="P37" s="56">
        <f t="shared" si="15"/>
        <v>2.1137745742610444E-6</v>
      </c>
      <c r="Q37" s="51" t="str">
        <f t="shared" si="16"/>
        <v/>
      </c>
      <c r="R37" s="40" t="str">
        <f t="shared" si="17"/>
        <v/>
      </c>
      <c r="S37" s="57">
        <f>IF(AND(E37&gt;0.95*BiasLight,E37&lt;1.05*BiasLight),"",IF(AugerModel="Sinton",calclifetimeauger(Auger_Coefficient,I37,P37),calclifetimerichter(SampleType,I37,SampleDoping,P37)))</f>
        <v>473087.28491373407</v>
      </c>
      <c r="T37" s="295" t="str">
        <f t="shared" si="18"/>
        <v/>
      </c>
      <c r="U37" s="57" t="e">
        <f t="shared" si="12"/>
        <v>#DIV/0!</v>
      </c>
      <c r="V37" s="40">
        <f>IF(AugerModel="Sinton","",IF(SampleType="n-type",n_intr_boltzmann(SampleDoping,0,K37,298.15),n_intr_boltzmann(0,SampleDoping,K37,298.15)))</f>
        <v>8315332323.1079082</v>
      </c>
      <c r="W37" s="40" t="str">
        <f t="shared" si="13"/>
        <v/>
      </c>
      <c r="X37" s="58" t="e">
        <f>IF(AND(A37&gt;TimeofMaxCD,I37&gt;Traps),IF(AugerModel="Sinton",CalcImpliedV(SampleDoping,O37),CalcImpliedVRichter(O37,SampleDoping,V37)),"")</f>
        <v>#DIV/0!</v>
      </c>
      <c r="Y37" s="37" t="e">
        <f t="shared" si="9"/>
        <v>#DIV/0!</v>
      </c>
      <c r="Z37" s="41" t="str">
        <f t="shared" si="10"/>
        <v/>
      </c>
    </row>
    <row r="38" spans="1:26">
      <c r="A38" s="53">
        <v>7.5519000000000003E-3</v>
      </c>
      <c r="B38" s="53">
        <v>4.8991199999999999E-3</v>
      </c>
      <c r="C38" s="54">
        <v>1.7132100000000001E-2</v>
      </c>
      <c r="D38" s="58">
        <f>IF(CouplingMode="AC",B38-(A$11-A$10)*SUM(B$9:B38)/0.21,B38)</f>
        <v>4.8991199999999999E-3</v>
      </c>
      <c r="E38" s="55">
        <f t="shared" si="11"/>
        <v>1.5744785901816838</v>
      </c>
      <c r="F38" s="55">
        <f t="shared" si="0"/>
        <v>1.5744785901816838</v>
      </c>
      <c r="G38" s="56">
        <f t="shared" si="1"/>
        <v>2.6143027777049184E+17</v>
      </c>
      <c r="H38" s="77">
        <f t="shared" si="2"/>
        <v>1.5883946270531246E-4</v>
      </c>
      <c r="I38" s="56">
        <f t="shared" si="3"/>
        <v>10364219292499.756</v>
      </c>
      <c r="J38" s="56" t="str">
        <f t="shared" si="4"/>
        <v/>
      </c>
      <c r="K38" s="56">
        <f t="shared" si="5"/>
        <v>10364219292499.756</v>
      </c>
      <c r="L38" s="51">
        <f t="shared" si="14"/>
        <v>-4529931833032231</v>
      </c>
      <c r="M38" s="46" t="str">
        <f t="shared" si="6"/>
        <v/>
      </c>
      <c r="N38" s="46" t="str">
        <f t="shared" si="7"/>
        <v/>
      </c>
      <c r="O38" s="51" t="e">
        <f t="shared" si="8"/>
        <v>#DIV/0!</v>
      </c>
      <c r="P38" s="56">
        <f t="shared" si="15"/>
        <v>2.1130409721524188E-6</v>
      </c>
      <c r="Q38" s="51" t="str">
        <f t="shared" si="16"/>
        <v/>
      </c>
      <c r="R38" s="40" t="str">
        <f t="shared" si="17"/>
        <v/>
      </c>
      <c r="S38" s="57">
        <f>IF(AND(E38&gt;0.95*BiasLight,E38&lt;1.05*BiasLight),"",IF(AugerModel="Sinton",calclifetimeauger(Auger_Coefficient,I38,P38),calclifetimerichter(SampleType,I38,SampleDoping,P38)))</f>
        <v>473251.53716280812</v>
      </c>
      <c r="T38" s="295" t="str">
        <f t="shared" si="18"/>
        <v/>
      </c>
      <c r="U38" s="57" t="e">
        <f t="shared" si="12"/>
        <v>#DIV/0!</v>
      </c>
      <c r="V38" s="40">
        <f>IF(AugerModel="Sinton","",IF(SampleType="n-type",n_intr_boltzmann(SampleDoping,0,K38,298.15),n_intr_boltzmann(0,SampleDoping,K38,298.15)))</f>
        <v>8314828401.9746847</v>
      </c>
      <c r="W38" s="40" t="str">
        <f t="shared" si="13"/>
        <v/>
      </c>
      <c r="X38" s="58" t="e">
        <f>IF(AND(A38&gt;TimeofMaxCD,I38&gt;Traps),IF(AugerModel="Sinton",CalcImpliedV(SampleDoping,O38),CalcImpliedVRichter(O38,SampleDoping,V38)),"")</f>
        <v>#DIV/0!</v>
      </c>
      <c r="Y38" s="37" t="e">
        <f t="shared" si="9"/>
        <v>#DIV/0!</v>
      </c>
      <c r="Z38" s="41" t="str">
        <f t="shared" si="10"/>
        <v/>
      </c>
    </row>
    <row r="39" spans="1:26">
      <c r="A39" s="53">
        <v>7.8079000000000004E-3</v>
      </c>
      <c r="B39" s="53">
        <v>4.3610599999999999E-3</v>
      </c>
      <c r="C39" s="54">
        <v>1.5244600000000001E-2</v>
      </c>
      <c r="D39" s="58">
        <f>IF(CouplingMode="AC",B39-(A$11-A$10)*SUM(B$9:B39)/0.21,B39)</f>
        <v>4.3610599999999999E-3</v>
      </c>
      <c r="E39" s="55">
        <f t="shared" si="11"/>
        <v>1.401013087472271</v>
      </c>
      <c r="F39" s="55">
        <f t="shared" si="0"/>
        <v>1.401013087472271</v>
      </c>
      <c r="G39" s="56">
        <f t="shared" si="1"/>
        <v>2.3262764124071414E+17</v>
      </c>
      <c r="H39" s="77">
        <f t="shared" si="2"/>
        <v>1.4139383865967997E-4</v>
      </c>
      <c r="I39" s="56">
        <f t="shared" si="3"/>
        <v>9225637824571.2734</v>
      </c>
      <c r="J39" s="56" t="str">
        <f t="shared" si="4"/>
        <v/>
      </c>
      <c r="K39" s="56">
        <f t="shared" si="5"/>
        <v>9225637824571.2734</v>
      </c>
      <c r="L39" s="51">
        <f t="shared" si="14"/>
        <v>-4403836130841832</v>
      </c>
      <c r="M39" s="46" t="str">
        <f t="shared" si="6"/>
        <v/>
      </c>
      <c r="N39" s="46" t="str">
        <f t="shared" si="7"/>
        <v/>
      </c>
      <c r="O39" s="51" t="e">
        <f t="shared" si="8"/>
        <v>#DIV/0!</v>
      </c>
      <c r="P39" s="56">
        <f t="shared" si="15"/>
        <v>2.113792210706505E-6</v>
      </c>
      <c r="Q39" s="51" t="str">
        <f t="shared" si="16"/>
        <v/>
      </c>
      <c r="R39" s="40" t="str">
        <f t="shared" si="17"/>
        <v/>
      </c>
      <c r="S39" s="57">
        <f>IF(AND(E39&gt;0.95*BiasLight,E39&lt;1.05*BiasLight),"",IF(AugerModel="Sinton",calclifetimeauger(Auger_Coefficient,I39,P39),calclifetimerichter(SampleType,I39,SampleDoping,P39)))</f>
        <v>473083.35009425745</v>
      </c>
      <c r="T39" s="295" t="str">
        <f t="shared" si="18"/>
        <v/>
      </c>
      <c r="U39" s="57" t="e">
        <f t="shared" si="12"/>
        <v>#DIV/0!</v>
      </c>
      <c r="V39" s="40">
        <f>IF(AugerModel="Sinton","",IF(SampleType="n-type",n_intr_boltzmann(SampleDoping,0,K39,298.15),n_intr_boltzmann(0,SampleDoping,K39,298.15)))</f>
        <v>8314380287.419817</v>
      </c>
      <c r="W39" s="40" t="str">
        <f t="shared" si="13"/>
        <v/>
      </c>
      <c r="X39" s="58" t="e">
        <f>IF(AND(A39&gt;TimeofMaxCD,I39&gt;Traps),IF(AugerModel="Sinton",CalcImpliedV(SampleDoping,O39),CalcImpliedVRichter(O39,SampleDoping,V39)),"")</f>
        <v>#DIV/0!</v>
      </c>
      <c r="Y39" s="37" t="e">
        <f t="shared" si="9"/>
        <v>#DIV/0!</v>
      </c>
      <c r="Z39" s="41" t="str">
        <f t="shared" si="10"/>
        <v/>
      </c>
    </row>
    <row r="40" spans="1:26">
      <c r="A40" s="53">
        <v>8.0639000000000006E-3</v>
      </c>
      <c r="B40" s="53">
        <v>3.8777299999999998E-3</v>
      </c>
      <c r="C40" s="54">
        <v>1.35569E-2</v>
      </c>
      <c r="D40" s="58">
        <f>IF(CouplingMode="AC",B40-(A$11-A$10)*SUM(B$9:B40)/0.21,B40)</f>
        <v>3.8777299999999998E-3</v>
      </c>
      <c r="E40" s="55">
        <f t="shared" si="11"/>
        <v>1.245909654930456</v>
      </c>
      <c r="F40" s="55">
        <f t="shared" si="0"/>
        <v>1.245909654930456</v>
      </c>
      <c r="G40" s="56">
        <f t="shared" si="1"/>
        <v>2.0687388777247274E+17</v>
      </c>
      <c r="H40" s="77">
        <f t="shared" si="2"/>
        <v>1.2572286678542294E-4</v>
      </c>
      <c r="I40" s="56">
        <f t="shared" si="3"/>
        <v>8202932479457.1338</v>
      </c>
      <c r="J40" s="56" t="str">
        <f t="shared" si="4"/>
        <v/>
      </c>
      <c r="K40" s="56">
        <f t="shared" si="5"/>
        <v>8202932479457.1338</v>
      </c>
      <c r="L40" s="51">
        <f t="shared" si="14"/>
        <v>-3741941625328959.5</v>
      </c>
      <c r="M40" s="46" t="str">
        <f t="shared" si="6"/>
        <v/>
      </c>
      <c r="N40" s="46" t="str">
        <f t="shared" si="7"/>
        <v/>
      </c>
      <c r="O40" s="51" t="e">
        <f t="shared" si="8"/>
        <v>#DIV/0!</v>
      </c>
      <c r="P40" s="56">
        <f t="shared" si="15"/>
        <v>2.1134436340072621E-6</v>
      </c>
      <c r="Q40" s="51" t="str">
        <f t="shared" si="16"/>
        <v/>
      </c>
      <c r="R40" s="40" t="str">
        <f t="shared" si="17"/>
        <v/>
      </c>
      <c r="S40" s="57">
        <f>IF(AND(E40&gt;0.95*BiasLight,E40&lt;1.05*BiasLight),"",IF(AugerModel="Sinton",calclifetimeauger(Auger_Coefficient,I40,P40),calclifetimerichter(SampleType,I40,SampleDoping,P40)))</f>
        <v>473161.38241363392</v>
      </c>
      <c r="T40" s="295" t="str">
        <f t="shared" si="18"/>
        <v/>
      </c>
      <c r="U40" s="57" t="e">
        <f t="shared" si="12"/>
        <v>#DIV/0!</v>
      </c>
      <c r="V40" s="40">
        <f>IF(AugerModel="Sinton","",IF(SampleType="n-type",n_intr_boltzmann(SampleDoping,0,K40,298.15),n_intr_boltzmann(0,SampleDoping,K40,298.15)))</f>
        <v>8313978430.1636658</v>
      </c>
      <c r="W40" s="40" t="str">
        <f t="shared" si="13"/>
        <v/>
      </c>
      <c r="X40" s="58" t="e">
        <f>IF(AND(A40&gt;TimeofMaxCD,I40&gt;Traps),IF(AugerModel="Sinton",CalcImpliedV(SampleDoping,O40),CalcImpliedVRichter(O40,SampleDoping,V40)),"")</f>
        <v>#DIV/0!</v>
      </c>
      <c r="Y40" s="37" t="e">
        <f t="shared" si="9"/>
        <v>#DIV/0!</v>
      </c>
      <c r="Z40" s="41" t="str">
        <f t="shared" si="10"/>
        <v/>
      </c>
    </row>
    <row r="41" spans="1:26">
      <c r="A41" s="53">
        <v>8.3198999999999999E-3</v>
      </c>
      <c r="B41" s="53">
        <v>3.3505399999999999E-3</v>
      </c>
      <c r="C41" s="54">
        <v>1.20398E-2</v>
      </c>
      <c r="D41" s="58">
        <f>IF(CouplingMode="AC",B41-(A$11-A$10)*SUM(B$9:B41)/0.21,B41)</f>
        <v>3.3505399999999999E-3</v>
      </c>
      <c r="E41" s="55">
        <f t="shared" ref="E41:E72" si="19">IF(C41&gt;0,C41/RefCellCal,0.00001)</f>
        <v>1.1064847467659793</v>
      </c>
      <c r="F41" s="55">
        <f t="shared" ref="F41:F72" si="20">E41-BiasLight</f>
        <v>1.1064847467659793</v>
      </c>
      <c r="G41" s="56">
        <f t="shared" ref="G41:G72" si="21">F41*0.038*OptConst/1.602E-19</f>
        <v>1.837234348562737E+17</v>
      </c>
      <c r="H41" s="77">
        <f t="shared" ref="H41:H72" si="22">CalcConductance(B41,Dark_Voltage,A_cal,B_cal,C_cal)</f>
        <v>1.0862996654404516E-4</v>
      </c>
      <c r="I41" s="56">
        <f t="shared" ref="I41:I72" si="23">CalcDeltaN(H41,SampleDoping,Thickness,AreaFrac)</f>
        <v>7087489213097.2432</v>
      </c>
      <c r="J41" s="56" t="str">
        <f t="shared" ref="J41:J72" si="24">IF(AND(AND(I41&gt;=FitRangeMin,I41&lt;=FitRangeMax),A41&gt;TimeofMaxCD),I41,"")</f>
        <v/>
      </c>
      <c r="K41" s="56">
        <f t="shared" ref="K41:K72" si="25">IF(I41-BiasPtCD&lt;0,0.00001,I41-BiasPtCD)</f>
        <v>7087489213097.2432</v>
      </c>
      <c r="L41" s="51">
        <f t="shared" si="14"/>
        <v>-2872237173288627.5</v>
      </c>
      <c r="M41" s="46" t="str">
        <f t="shared" ref="M41:M72" si="26">IF(E41&gt;0.85*BiasLight,IF( E41&lt;1.15*BiasLight,E41,""),"")</f>
        <v/>
      </c>
      <c r="N41" s="46" t="str">
        <f t="shared" ref="N41:N72" si="27">IF(E41&gt;0.85*BiasLight,IF(E41&lt;1.15*BiasLight,I41,""),"")</f>
        <v/>
      </c>
      <c r="O41" s="51" t="e">
        <f t="shared" ref="O41:O72" si="28">I41-Traps</f>
        <v>#DIV/0!</v>
      </c>
      <c r="P41" s="56">
        <f t="shared" si="15"/>
        <v>2.0561512762571967E-6</v>
      </c>
      <c r="Q41" s="51" t="str">
        <f t="shared" si="16"/>
        <v/>
      </c>
      <c r="R41" s="40" t="str">
        <f t="shared" si="17"/>
        <v/>
      </c>
      <c r="S41" s="57">
        <f>IF(AND(E41&gt;0.95*BiasLight,E41&lt;1.05*BiasLight),"",IF(AugerModel="Sinton",calclifetimeauger(Auger_Coefficient,I41,P41),calclifetimerichter(SampleType,I41,SampleDoping,P41)))</f>
        <v>486345.502489076</v>
      </c>
      <c r="T41" s="295" t="str">
        <f t="shared" si="18"/>
        <v/>
      </c>
      <c r="U41" s="57" t="e">
        <f t="shared" ref="U41:U72" si="29">FitInterceptAuger+FitSlopeAuger*(I41+Traps)</f>
        <v>#DIV/0!</v>
      </c>
      <c r="V41" s="40">
        <f>IF(AugerModel="Sinton","",IF(SampleType="n-type",n_intr_boltzmann(SampleDoping,0,K41,298.15),n_intr_boltzmann(0,SampleDoping,K41,298.15)))</f>
        <v>8313541344.1862984</v>
      </c>
      <c r="W41" s="40" t="str">
        <f t="shared" si="13"/>
        <v/>
      </c>
      <c r="X41" s="58" t="e">
        <f>IF(AND(A41&gt;TimeofMaxCD,I41&gt;Traps),IF(AugerModel="Sinton",CalcImpliedV(SampleDoping,O41),CalcImpliedVRichter(O41,SampleDoping,V41)),"")</f>
        <v>#DIV/0!</v>
      </c>
      <c r="Y41" s="37" t="e">
        <f t="shared" ref="Y41:Y72" si="30">IF(OR(P41="",P41&lt;0,A41&lt;=TimeofMaxCD),"",(O41*Thickness*1.602E-19/(0.038*OptConst*P41)))</f>
        <v>#DIV/0!</v>
      </c>
      <c r="Z41" s="41" t="str">
        <f t="shared" ref="Z41:Z72" si="31">IF(C41&gt;0.6,O41,"")</f>
        <v/>
      </c>
    </row>
    <row r="42" spans="1:26">
      <c r="A42" s="53">
        <v>8.5758999999999991E-3</v>
      </c>
      <c r="B42" s="53">
        <v>3.1407399999999999E-3</v>
      </c>
      <c r="C42" s="54">
        <v>1.07171E-2</v>
      </c>
      <c r="D42" s="58">
        <f>IF(CouplingMode="AC",B42-(A$11-A$10)*SUM(B$9:B42)/0.21,B42)</f>
        <v>3.1407399999999999E-3</v>
      </c>
      <c r="E42" s="55">
        <f t="shared" si="19"/>
        <v>0.98492563660240851</v>
      </c>
      <c r="F42" s="55">
        <f t="shared" si="20"/>
        <v>0.98492563660240851</v>
      </c>
      <c r="G42" s="56">
        <f t="shared" si="21"/>
        <v>1.6353946275670454E+17</v>
      </c>
      <c r="H42" s="77">
        <f t="shared" si="22"/>
        <v>1.018277341729712E-4</v>
      </c>
      <c r="I42" s="56">
        <f t="shared" si="23"/>
        <v>6643608317815.708</v>
      </c>
      <c r="J42" s="56" t="str">
        <f t="shared" si="24"/>
        <v/>
      </c>
      <c r="K42" s="56">
        <f t="shared" si="25"/>
        <v>6643608317815.708</v>
      </c>
      <c r="L42" s="51">
        <f t="shared" si="14"/>
        <v>-2605983713916157.5</v>
      </c>
      <c r="M42" s="46" t="str">
        <f t="shared" si="26"/>
        <v/>
      </c>
      <c r="N42" s="46" t="str">
        <f t="shared" si="27"/>
        <v/>
      </c>
      <c r="O42" s="51" t="e">
        <f t="shared" si="28"/>
        <v>#DIV/0!</v>
      </c>
      <c r="P42" s="56">
        <f t="shared" si="15"/>
        <v>2.165253067183995E-6</v>
      </c>
      <c r="Q42" s="51" t="str">
        <f t="shared" si="16"/>
        <v/>
      </c>
      <c r="R42" s="40" t="str">
        <f t="shared" si="17"/>
        <v/>
      </c>
      <c r="S42" s="57">
        <f>IF(AND(E42&gt;0.95*BiasLight,E42&lt;1.05*BiasLight),"",IF(AugerModel="Sinton",calclifetimeauger(Auger_Coefficient,I42,P42),calclifetimerichter(SampleType,I42,SampleDoping,P42)))</f>
        <v>461839.74601692671</v>
      </c>
      <c r="T42" s="295" t="str">
        <f t="shared" si="18"/>
        <v/>
      </c>
      <c r="U42" s="57" t="e">
        <f t="shared" si="29"/>
        <v>#DIV/0!</v>
      </c>
      <c r="V42" s="40">
        <f>IF(AugerModel="Sinton","",IF(SampleType="n-type",n_intr_boltzmann(SampleDoping,0,K42,298.15),n_intr_boltzmann(0,SampleDoping,K42,298.15)))</f>
        <v>8313367895.2832499</v>
      </c>
      <c r="W42" s="40" t="str">
        <f t="shared" si="13"/>
        <v/>
      </c>
      <c r="X42" s="58" t="e">
        <f>IF(AND(A42&gt;TimeofMaxCD,I42&gt;Traps),IF(AugerModel="Sinton",CalcImpliedV(SampleDoping,O42),CalcImpliedVRichter(O42,SampleDoping,V42)),"")</f>
        <v>#DIV/0!</v>
      </c>
      <c r="Y42" s="37" t="e">
        <f t="shared" si="30"/>
        <v>#DIV/0!</v>
      </c>
      <c r="Z42" s="41" t="str">
        <f t="shared" si="31"/>
        <v/>
      </c>
    </row>
    <row r="43" spans="1:26">
      <c r="A43" s="53">
        <v>8.8319000000000002E-3</v>
      </c>
      <c r="B43" s="53">
        <v>2.9919600000000001E-3</v>
      </c>
      <c r="C43" s="54">
        <v>9.5097399999999992E-3</v>
      </c>
      <c r="D43" s="58">
        <f>IF(CouplingMode="AC",B43-(A$11-A$10)*SUM(B$9:B43)/0.21,B43)</f>
        <v>2.9919600000000001E-3</v>
      </c>
      <c r="E43" s="55">
        <f t="shared" si="19"/>
        <v>0.87396653231036259</v>
      </c>
      <c r="F43" s="55">
        <f t="shared" si="20"/>
        <v>0.87396653231036259</v>
      </c>
      <c r="G43" s="56">
        <f t="shared" si="21"/>
        <v>1.4511554156963574E+17</v>
      </c>
      <c r="H43" s="77">
        <f t="shared" si="22"/>
        <v>9.7003934515837997E-5</v>
      </c>
      <c r="I43" s="56">
        <f t="shared" si="23"/>
        <v>6328836323582.5449</v>
      </c>
      <c r="J43" s="56" t="str">
        <f t="shared" si="24"/>
        <v/>
      </c>
      <c r="K43" s="56">
        <f t="shared" si="25"/>
        <v>6328836323582.5449</v>
      </c>
      <c r="L43" s="51">
        <f t="shared" ref="L43:L74" si="32">IF(ABS(SLOPE(K41:K45,A41:A45))&lt;1000000000000,-1000000000000,(SLOPE(K41:K45,A41:A45)))</f>
        <v>-2477556169111338.5</v>
      </c>
      <c r="M43" s="46" t="str">
        <f t="shared" si="26"/>
        <v/>
      </c>
      <c r="N43" s="46" t="str">
        <f t="shared" si="27"/>
        <v/>
      </c>
      <c r="O43" s="51" t="e">
        <f t="shared" si="28"/>
        <v>#DIV/0!</v>
      </c>
      <c r="P43" s="56">
        <f t="shared" ref="P43:P74" si="33">calclifetime(AnalysisMode,K43,Thickness,G43,L43)</f>
        <v>2.3245406549723589E-6</v>
      </c>
      <c r="Q43" s="51" t="str">
        <f t="shared" si="16"/>
        <v/>
      </c>
      <c r="R43" s="40" t="str">
        <f t="shared" si="17"/>
        <v/>
      </c>
      <c r="S43" s="57">
        <f>IF(AND(E43&gt;0.95*BiasLight,E43&lt;1.05*BiasLight),"",IF(AugerModel="Sinton",calclifetimeauger(Auger_Coefficient,I43,P43),calclifetimerichter(SampleType,I43,SampleDoping,P43)))</f>
        <v>430192.48676529177</v>
      </c>
      <c r="T43" s="295" t="str">
        <f t="shared" si="18"/>
        <v/>
      </c>
      <c r="U43" s="57" t="e">
        <f t="shared" si="29"/>
        <v>#DIV/0!</v>
      </c>
      <c r="V43" s="40">
        <f>IF(AugerModel="Sinton","",IF(SampleType="n-type",n_intr_boltzmann(SampleDoping,0,K43,298.15),n_intr_boltzmann(0,SampleDoping,K43,298.15)))</f>
        <v>8313245101.5242014</v>
      </c>
      <c r="W43" s="40" t="str">
        <f t="shared" si="13"/>
        <v/>
      </c>
      <c r="X43" s="58" t="e">
        <f>IF(AND(A43&gt;TimeofMaxCD,I43&gt;Traps),IF(AugerModel="Sinton",CalcImpliedV(SampleDoping,O43),CalcImpliedVRichter(O43,SampleDoping,V43)),"")</f>
        <v>#DIV/0!</v>
      </c>
      <c r="Y43" s="37" t="e">
        <f t="shared" si="30"/>
        <v>#DIV/0!</v>
      </c>
      <c r="Z43" s="41" t="str">
        <f t="shared" si="31"/>
        <v/>
      </c>
    </row>
    <row r="44" spans="1:26">
      <c r="A44" s="53">
        <v>9.0878999999999995E-3</v>
      </c>
      <c r="B44" s="53">
        <v>2.4804100000000002E-3</v>
      </c>
      <c r="C44" s="54">
        <v>8.3878400000000006E-3</v>
      </c>
      <c r="D44" s="58">
        <f>IF(CouplingMode="AC",B44-(A$11-A$10)*SUM(B$9:B44)/0.21,B44)</f>
        <v>2.4804100000000002E-3</v>
      </c>
      <c r="E44" s="55">
        <f t="shared" si="19"/>
        <v>0.7708613945674806</v>
      </c>
      <c r="F44" s="55">
        <f t="shared" si="20"/>
        <v>0.7708613945674806</v>
      </c>
      <c r="G44" s="56">
        <f t="shared" si="21"/>
        <v>1.2799571220658539E+17</v>
      </c>
      <c r="H44" s="77">
        <f t="shared" si="22"/>
        <v>8.0418362493686613E-5</v>
      </c>
      <c r="I44" s="56">
        <f t="shared" si="23"/>
        <v>5246599770401.8027</v>
      </c>
      <c r="J44" s="56" t="str">
        <f t="shared" si="24"/>
        <v/>
      </c>
      <c r="K44" s="56">
        <f t="shared" si="25"/>
        <v>5246599770401.8027</v>
      </c>
      <c r="L44" s="51">
        <f t="shared" si="32"/>
        <v>-2369390498357924</v>
      </c>
      <c r="M44" s="46" t="str">
        <f t="shared" si="26"/>
        <v/>
      </c>
      <c r="N44" s="46" t="str">
        <f t="shared" si="27"/>
        <v/>
      </c>
      <c r="O44" s="51" t="e">
        <f t="shared" si="28"/>
        <v>#DIV/0!</v>
      </c>
      <c r="P44" s="56">
        <f t="shared" si="33"/>
        <v>2.1847901225868437E-6</v>
      </c>
      <c r="Q44" s="51" t="str">
        <f t="shared" ref="Q44:Q75" si="34">IF($J44="","",P44)</f>
        <v/>
      </c>
      <c r="R44" s="40" t="str">
        <f t="shared" ref="R44:R75" si="35">IF(Q44="","",1/Q44)</f>
        <v/>
      </c>
      <c r="S44" s="57">
        <f>IF(AND(E44&gt;0.95*BiasLight,E44&lt;1.05*BiasLight),"",IF(AugerModel="Sinton",calclifetimeauger(Auger_Coefficient,I44,P44),calclifetimerichter(SampleType,I44,SampleDoping,P44)))</f>
        <v>457709.84187283978</v>
      </c>
      <c r="T44" s="295" t="str">
        <f t="shared" ref="T44:T75" si="36">IF($J44="","",S44)</f>
        <v/>
      </c>
      <c r="U44" s="57" t="e">
        <f t="shared" si="29"/>
        <v>#DIV/0!</v>
      </c>
      <c r="V44" s="40">
        <f>IF(AugerModel="Sinton","",IF(SampleType="n-type",n_intr_boltzmann(SampleDoping,0,K44,298.15),n_intr_boltzmann(0,SampleDoping,K44,298.15)))</f>
        <v>8312824478.43501</v>
      </c>
      <c r="W44" s="40" t="str">
        <f t="shared" si="13"/>
        <v/>
      </c>
      <c r="X44" s="58" t="e">
        <f>IF(AND(A44&gt;TimeofMaxCD,I44&gt;Traps),IF(AugerModel="Sinton",CalcImpliedV(SampleDoping,O44),CalcImpliedVRichter(O44,SampleDoping,V44)),"")</f>
        <v>#DIV/0!</v>
      </c>
      <c r="Y44" s="37" t="e">
        <f t="shared" si="30"/>
        <v>#DIV/0!</v>
      </c>
      <c r="Z44" s="41" t="str">
        <f t="shared" si="31"/>
        <v/>
      </c>
    </row>
    <row r="45" spans="1:26">
      <c r="A45" s="53">
        <v>9.3439000000000005E-3</v>
      </c>
      <c r="B45" s="53">
        <v>2.1817199999999998E-3</v>
      </c>
      <c r="C45" s="54">
        <v>7.4370199999999999E-3</v>
      </c>
      <c r="D45" s="58">
        <f>IF(CouplingMode="AC",B45-(A$11-A$10)*SUM(B$9:B45)/0.21,B45)</f>
        <v>2.1817199999999998E-3</v>
      </c>
      <c r="E45" s="55">
        <f t="shared" si="19"/>
        <v>0.68347889428342024</v>
      </c>
      <c r="F45" s="55">
        <f t="shared" si="20"/>
        <v>0.68347889428342024</v>
      </c>
      <c r="G45" s="56">
        <f t="shared" si="21"/>
        <v>1.1348650803956915E+17</v>
      </c>
      <c r="H45" s="77">
        <f t="shared" si="22"/>
        <v>7.073424222785174E-5</v>
      </c>
      <c r="I45" s="56">
        <f t="shared" si="23"/>
        <v>4614721590341.6807</v>
      </c>
      <c r="J45" s="56" t="str">
        <f t="shared" si="24"/>
        <v/>
      </c>
      <c r="K45" s="56">
        <f t="shared" si="25"/>
        <v>4614721590341.6807</v>
      </c>
      <c r="L45" s="51">
        <f t="shared" si="32"/>
        <v>-2876146824859117.5</v>
      </c>
      <c r="M45" s="46" t="str">
        <f t="shared" si="26"/>
        <v/>
      </c>
      <c r="N45" s="46" t="str">
        <f t="shared" si="27"/>
        <v/>
      </c>
      <c r="O45" s="51" t="e">
        <f t="shared" si="28"/>
        <v>#DIV/0!</v>
      </c>
      <c r="P45" s="56">
        <f t="shared" si="33"/>
        <v>2.1673471588309996E-6</v>
      </c>
      <c r="Q45" s="51" t="str">
        <f t="shared" si="34"/>
        <v/>
      </c>
      <c r="R45" s="40" t="str">
        <f t="shared" si="35"/>
        <v/>
      </c>
      <c r="S45" s="57">
        <f>IF(AND(E45&gt;0.95*BiasLight,E45&lt;1.05*BiasLight),"",IF(AugerModel="Sinton",calclifetimeauger(Auger_Coefficient,I45,P45),calclifetimerichter(SampleType,I45,SampleDoping,P45)))</f>
        <v>461393.52660489042</v>
      </c>
      <c r="T45" s="295" t="str">
        <f t="shared" si="36"/>
        <v/>
      </c>
      <c r="U45" s="57" t="e">
        <f t="shared" si="29"/>
        <v>#DIV/0!</v>
      </c>
      <c r="V45" s="40">
        <f>IF(AugerModel="Sinton","",IF(SampleType="n-type",n_intr_boltzmann(SampleDoping,0,K45,298.15),n_intr_boltzmann(0,SampleDoping,K45,298.15)))</f>
        <v>8312580240.1015434</v>
      </c>
      <c r="W45" s="40" t="str">
        <f t="shared" si="13"/>
        <v/>
      </c>
      <c r="X45" s="58" t="e">
        <f>IF(AND(A45&gt;TimeofMaxCD,I45&gt;Traps),IF(AugerModel="Sinton",CalcImpliedV(SampleDoping,O45),CalcImpliedVRichter(O45,SampleDoping,V45)),"")</f>
        <v>#DIV/0!</v>
      </c>
      <c r="Y45" s="37" t="e">
        <f t="shared" si="30"/>
        <v>#DIV/0!</v>
      </c>
      <c r="Z45" s="41" t="str">
        <f t="shared" si="31"/>
        <v/>
      </c>
    </row>
    <row r="46" spans="1:26">
      <c r="A46" s="53">
        <v>9.5998999999999998E-3</v>
      </c>
      <c r="B46" s="53">
        <v>2.1122900000000002E-3</v>
      </c>
      <c r="C46" s="54">
        <v>6.5701300000000004E-3</v>
      </c>
      <c r="D46" s="58">
        <f>IF(CouplingMode="AC",B46-(A$11-A$10)*SUM(B$9:B46)/0.21,B46)</f>
        <v>2.1122900000000002E-3</v>
      </c>
      <c r="E46" s="55">
        <f t="shared" si="19"/>
        <v>0.60380975010129434</v>
      </c>
      <c r="F46" s="55">
        <f t="shared" si="20"/>
        <v>0.60380975010129434</v>
      </c>
      <c r="G46" s="56">
        <f t="shared" si="21"/>
        <v>1.0025804839384786E+17</v>
      </c>
      <c r="H46" s="77">
        <f t="shared" si="22"/>
        <v>6.8483191143553501E-5</v>
      </c>
      <c r="I46" s="56">
        <f t="shared" si="23"/>
        <v>4467845846537.9961</v>
      </c>
      <c r="J46" s="56" t="str">
        <f t="shared" si="24"/>
        <v/>
      </c>
      <c r="K46" s="56">
        <f t="shared" si="25"/>
        <v>4467845846537.9961</v>
      </c>
      <c r="L46" s="51">
        <f t="shared" si="32"/>
        <v>-2398321783050635.5</v>
      </c>
      <c r="M46" s="46" t="str">
        <f t="shared" si="26"/>
        <v/>
      </c>
      <c r="N46" s="46" t="str">
        <f t="shared" si="27"/>
        <v/>
      </c>
      <c r="O46" s="51" t="e">
        <f t="shared" si="28"/>
        <v>#DIV/0!</v>
      </c>
      <c r="P46" s="56">
        <f t="shared" si="33"/>
        <v>2.3752325866647129E-6</v>
      </c>
      <c r="Q46" s="51" t="str">
        <f t="shared" si="34"/>
        <v/>
      </c>
      <c r="R46" s="40" t="str">
        <f t="shared" si="35"/>
        <v/>
      </c>
      <c r="S46" s="57">
        <f>IF(AND(E46&gt;0.95*BiasLight,E46&lt;1.05*BiasLight),"",IF(AugerModel="Sinton",calclifetimeauger(Auger_Coefficient,I46,P46),calclifetimerichter(SampleType,I46,SampleDoping,P46)))</f>
        <v>421011.37862944516</v>
      </c>
      <c r="T46" s="295" t="str">
        <f t="shared" si="36"/>
        <v/>
      </c>
      <c r="U46" s="57" t="e">
        <f t="shared" si="29"/>
        <v>#DIV/0!</v>
      </c>
      <c r="V46" s="40">
        <f>IF(AugerModel="Sinton","",IF(SampleType="n-type",n_intr_boltzmann(SampleDoping,0,K46,298.15),n_intr_boltzmann(0,SampleDoping,K46,298.15)))</f>
        <v>8312523635.20226</v>
      </c>
      <c r="W46" s="40" t="str">
        <f t="shared" si="13"/>
        <v/>
      </c>
      <c r="X46" s="58" t="e">
        <f>IF(AND(A46&gt;TimeofMaxCD,I46&gt;Traps),IF(AugerModel="Sinton",CalcImpliedV(SampleDoping,O46),CalcImpliedVRichter(O46,SampleDoping,V46)),"")</f>
        <v>#DIV/0!</v>
      </c>
      <c r="Y46" s="37" t="e">
        <f t="shared" si="30"/>
        <v>#DIV/0!</v>
      </c>
      <c r="Z46" s="41" t="str">
        <f t="shared" si="31"/>
        <v/>
      </c>
    </row>
    <row r="47" spans="1:26">
      <c r="A47" s="53">
        <v>9.8559000000000008E-3</v>
      </c>
      <c r="B47" s="53">
        <v>1.4357599999999999E-3</v>
      </c>
      <c r="C47" s="54">
        <v>5.8401900000000003E-3</v>
      </c>
      <c r="D47" s="58">
        <f>IF(CouplingMode="AC",B47-(A$11-A$10)*SUM(B$9:B47)/0.21,B47)</f>
        <v>1.4357599999999999E-3</v>
      </c>
      <c r="E47" s="55">
        <f t="shared" si="19"/>
        <v>0.53672661947999178</v>
      </c>
      <c r="F47" s="55">
        <f t="shared" si="20"/>
        <v>0.53672661947999178</v>
      </c>
      <c r="G47" s="56">
        <f t="shared" si="21"/>
        <v>8.9119401237002384E+16</v>
      </c>
      <c r="H47" s="77">
        <f t="shared" si="22"/>
        <v>4.6548950743900697E-5</v>
      </c>
      <c r="I47" s="56">
        <f t="shared" si="23"/>
        <v>3036745349694.7764</v>
      </c>
      <c r="J47" s="56" t="str">
        <f t="shared" si="24"/>
        <v/>
      </c>
      <c r="K47" s="56">
        <f t="shared" si="25"/>
        <v>3036745349694.7764</v>
      </c>
      <c r="L47" s="51">
        <f t="shared" si="32"/>
        <v>-1959195490968238.2</v>
      </c>
      <c r="M47" s="46" t="str">
        <f t="shared" si="26"/>
        <v/>
      </c>
      <c r="N47" s="46" t="str">
        <f t="shared" si="27"/>
        <v/>
      </c>
      <c r="O47" s="51" t="e">
        <f t="shared" si="28"/>
        <v>#DIV/0!</v>
      </c>
      <c r="P47" s="56">
        <f t="shared" si="33"/>
        <v>1.8161985481510157E-6</v>
      </c>
      <c r="Q47" s="51" t="str">
        <f t="shared" si="34"/>
        <v/>
      </c>
      <c r="R47" s="40" t="str">
        <f t="shared" si="35"/>
        <v/>
      </c>
      <c r="S47" s="57">
        <f>IF(AND(E47&gt;0.95*BiasLight,E47&lt;1.05*BiasLight),"",IF(AugerModel="Sinton",calclifetimeauger(Auger_Coefficient,I47,P47),calclifetimerichter(SampleType,I47,SampleDoping,P47)))</f>
        <v>550600.57882365026</v>
      </c>
      <c r="T47" s="295" t="str">
        <f t="shared" si="36"/>
        <v/>
      </c>
      <c r="U47" s="57" t="e">
        <f t="shared" si="29"/>
        <v>#DIV/0!</v>
      </c>
      <c r="V47" s="40">
        <f>IF(AugerModel="Sinton","",IF(SampleType="n-type",n_intr_boltzmann(SampleDoping,0,K47,298.15),n_intr_boltzmann(0,SampleDoping,K47,298.15)))</f>
        <v>8311976040.7445354</v>
      </c>
      <c r="W47" s="40" t="str">
        <f t="shared" si="13"/>
        <v/>
      </c>
      <c r="X47" s="58" t="e">
        <f>IF(AND(A47&gt;TimeofMaxCD,I47&gt;Traps),IF(AugerModel="Sinton",CalcImpliedV(SampleDoping,O47),CalcImpliedVRichter(O47,SampleDoping,V47)),"")</f>
        <v>#DIV/0!</v>
      </c>
      <c r="Y47" s="37" t="e">
        <f t="shared" si="30"/>
        <v>#DIV/0!</v>
      </c>
      <c r="Z47" s="41" t="str">
        <f t="shared" si="31"/>
        <v/>
      </c>
    </row>
    <row r="48" spans="1:26">
      <c r="A48" s="53">
        <v>1.01119E-2</v>
      </c>
      <c r="B48" s="53">
        <v>1.40219E-3</v>
      </c>
      <c r="C48" s="54">
        <v>5.1270300000000003E-3</v>
      </c>
      <c r="D48" s="58">
        <f>IF(CouplingMode="AC",B48-(A$11-A$10)*SUM(B$9:B48)/0.21,B48)</f>
        <v>1.40219E-3</v>
      </c>
      <c r="E48" s="55">
        <f t="shared" si="19"/>
        <v>0.47118560866555753</v>
      </c>
      <c r="F48" s="55">
        <f t="shared" si="20"/>
        <v>0.47118560866555753</v>
      </c>
      <c r="G48" s="56">
        <f t="shared" si="21"/>
        <v>7.8236811426365968E+16</v>
      </c>
      <c r="H48" s="77">
        <f t="shared" si="22"/>
        <v>4.5460561198182314E-5</v>
      </c>
      <c r="I48" s="56">
        <f t="shared" si="23"/>
        <v>2965736008420.4404</v>
      </c>
      <c r="J48" s="56" t="str">
        <f t="shared" si="24"/>
        <v/>
      </c>
      <c r="K48" s="56">
        <f t="shared" si="25"/>
        <v>2965736008420.4404</v>
      </c>
      <c r="L48" s="51">
        <f t="shared" si="32"/>
        <v>-1460832936500014.7</v>
      </c>
      <c r="M48" s="46" t="str">
        <f t="shared" si="26"/>
        <v/>
      </c>
      <c r="N48" s="46" t="str">
        <f t="shared" si="27"/>
        <v/>
      </c>
      <c r="O48" s="51" t="e">
        <f t="shared" si="28"/>
        <v>#DIV/0!</v>
      </c>
      <c r="P48" s="56">
        <f t="shared" si="33"/>
        <v>2.0204520911180475E-6</v>
      </c>
      <c r="Q48" s="51" t="str">
        <f t="shared" si="34"/>
        <v/>
      </c>
      <c r="R48" s="40" t="str">
        <f t="shared" si="35"/>
        <v/>
      </c>
      <c r="S48" s="57">
        <f>IF(AND(E48&gt;0.95*BiasLight,E48&lt;1.05*BiasLight),"",IF(AugerModel="Sinton",calclifetimeauger(Auger_Coefficient,I48,P48),calclifetimerichter(SampleType,I48,SampleDoping,P48)))</f>
        <v>494938.71883156954</v>
      </c>
      <c r="T48" s="295" t="str">
        <f t="shared" si="36"/>
        <v/>
      </c>
      <c r="U48" s="57" t="e">
        <f t="shared" si="29"/>
        <v>#DIV/0!</v>
      </c>
      <c r="V48" s="40">
        <f>IF(AugerModel="Sinton","",IF(SampleType="n-type",n_intr_boltzmann(SampleDoping,0,K48,298.15),n_intr_boltzmann(0,SampleDoping,K48,298.15)))</f>
        <v>8311949081.2928953</v>
      </c>
      <c r="W48" s="40" t="str">
        <f t="shared" si="13"/>
        <v/>
      </c>
      <c r="X48" s="58" t="e">
        <f>IF(AND(A48&gt;TimeofMaxCD,I48&gt;Traps),IF(AugerModel="Sinton",CalcImpliedV(SampleDoping,O48),CalcImpliedVRichter(O48,SampleDoping,V48)),"")</f>
        <v>#DIV/0!</v>
      </c>
      <c r="Y48" s="37" t="e">
        <f t="shared" si="30"/>
        <v>#DIV/0!</v>
      </c>
      <c r="Z48" s="41" t="str">
        <f t="shared" si="31"/>
        <v/>
      </c>
    </row>
    <row r="49" spans="1:26">
      <c r="A49" s="53">
        <v>1.0367899999999999E-2</v>
      </c>
      <c r="B49" s="53">
        <v>1.35126E-3</v>
      </c>
      <c r="C49" s="54">
        <v>4.5244999999999999E-3</v>
      </c>
      <c r="D49" s="58">
        <f>IF(CouplingMode="AC",B49-(A$11-A$10)*SUM(B$9:B49)/0.21,B49)</f>
        <v>1.35126E-3</v>
      </c>
      <c r="E49" s="55">
        <f t="shared" si="19"/>
        <v>0.4158117441105893</v>
      </c>
      <c r="F49" s="55">
        <f t="shared" si="20"/>
        <v>0.4158117441105893</v>
      </c>
      <c r="G49" s="56">
        <f t="shared" si="21"/>
        <v>6.9042399459061648E+16</v>
      </c>
      <c r="H49" s="77">
        <f t="shared" si="22"/>
        <v>4.3809335660387194E-5</v>
      </c>
      <c r="I49" s="56">
        <f t="shared" si="23"/>
        <v>2858006280961.1167</v>
      </c>
      <c r="J49" s="56" t="str">
        <f t="shared" si="24"/>
        <v/>
      </c>
      <c r="K49" s="56">
        <f t="shared" si="25"/>
        <v>2858006280961.1167</v>
      </c>
      <c r="L49" s="51">
        <f t="shared" si="32"/>
        <v>-641748298592630.37</v>
      </c>
      <c r="M49" s="46" t="str">
        <f t="shared" si="26"/>
        <v/>
      </c>
      <c r="N49" s="46" t="str">
        <f t="shared" si="27"/>
        <v/>
      </c>
      <c r="O49" s="51" t="e">
        <f t="shared" si="28"/>
        <v>#DIV/0!</v>
      </c>
      <c r="P49" s="56">
        <f t="shared" si="33"/>
        <v>2.2063505319734992E-6</v>
      </c>
      <c r="Q49" s="51" t="str">
        <f t="shared" si="34"/>
        <v/>
      </c>
      <c r="R49" s="40" t="str">
        <f t="shared" si="35"/>
        <v/>
      </c>
      <c r="S49" s="57">
        <f>IF(AND(E49&gt;0.95*BiasLight,E49&lt;1.05*BiasLight),"",IF(AugerModel="Sinton",calclifetimeauger(Auger_Coefficient,I49,P49),calclifetimerichter(SampleType,I49,SampleDoping,P49)))</f>
        <v>453237.12317998323</v>
      </c>
      <c r="T49" s="295" t="str">
        <f t="shared" si="36"/>
        <v/>
      </c>
      <c r="U49" s="57" t="e">
        <f t="shared" si="29"/>
        <v>#DIV/0!</v>
      </c>
      <c r="V49" s="40">
        <f>IF(AugerModel="Sinton","",IF(SampleType="n-type",n_intr_boltzmann(SampleDoping,0,K49,298.15),n_intr_boltzmann(0,SampleDoping,K49,298.15)))</f>
        <v>8311908223.5314541</v>
      </c>
      <c r="W49" s="40" t="str">
        <f t="shared" si="13"/>
        <v/>
      </c>
      <c r="X49" s="58" t="e">
        <f>IF(AND(A49&gt;TimeofMaxCD,I49&gt;Traps),IF(AugerModel="Sinton",CalcImpliedV(SampleDoping,O49),CalcImpliedVRichter(O49,SampleDoping,V49)),"")</f>
        <v>#DIV/0!</v>
      </c>
      <c r="Y49" s="37" t="e">
        <f t="shared" si="30"/>
        <v>#DIV/0!</v>
      </c>
      <c r="Z49" s="41" t="str">
        <f t="shared" si="31"/>
        <v/>
      </c>
    </row>
    <row r="50" spans="1:26">
      <c r="A50" s="53">
        <v>1.06239E-2</v>
      </c>
      <c r="B50" s="53">
        <v>1.2705800000000001E-3</v>
      </c>
      <c r="C50" s="54">
        <v>3.9765199999999999E-3</v>
      </c>
      <c r="D50" s="58">
        <f>IF(CouplingMode="AC",B50-(A$11-A$10)*SUM(B$9:B50)/0.21,B50)</f>
        <v>1.2705800000000001E-3</v>
      </c>
      <c r="E50" s="55">
        <f t="shared" si="19"/>
        <v>0.36545114746173957</v>
      </c>
      <c r="F50" s="55">
        <f t="shared" si="20"/>
        <v>0.36545114746173957</v>
      </c>
      <c r="G50" s="56">
        <f t="shared" si="21"/>
        <v>6.0680402762061624E+16</v>
      </c>
      <c r="H50" s="77">
        <f t="shared" si="22"/>
        <v>4.1193574160769408E-5</v>
      </c>
      <c r="I50" s="56">
        <f t="shared" si="23"/>
        <v>2687349222184.8081</v>
      </c>
      <c r="J50" s="56" t="str">
        <f t="shared" si="24"/>
        <v/>
      </c>
      <c r="K50" s="56">
        <f t="shared" si="25"/>
        <v>2687349222184.8081</v>
      </c>
      <c r="L50" s="51">
        <f t="shared" si="32"/>
        <v>-1032881454795664.1</v>
      </c>
      <c r="M50" s="46" t="str">
        <f t="shared" si="26"/>
        <v/>
      </c>
      <c r="N50" s="46" t="str">
        <f t="shared" si="27"/>
        <v/>
      </c>
      <c r="O50" s="51" t="e">
        <f t="shared" si="28"/>
        <v>#DIV/0!</v>
      </c>
      <c r="P50" s="56">
        <f t="shared" si="33"/>
        <v>2.3604937841975497E-6</v>
      </c>
      <c r="Q50" s="51" t="str">
        <f t="shared" si="34"/>
        <v/>
      </c>
      <c r="R50" s="40" t="str">
        <f t="shared" si="35"/>
        <v/>
      </c>
      <c r="S50" s="57">
        <f>IF(AND(E50&gt;0.95*BiasLight,E50&lt;1.05*BiasLight),"",IF(AugerModel="Sinton",calclifetimeauger(Auger_Coefficient,I50,P50),calclifetimerichter(SampleType,I50,SampleDoping,P50)))</f>
        <v>423640.16136765538</v>
      </c>
      <c r="T50" s="295" t="str">
        <f t="shared" si="36"/>
        <v/>
      </c>
      <c r="U50" s="57" t="e">
        <f t="shared" si="29"/>
        <v>#DIV/0!</v>
      </c>
      <c r="V50" s="40">
        <f>IF(AugerModel="Sinton","",IF(SampleType="n-type",n_intr_boltzmann(SampleDoping,0,K50,298.15),n_intr_boltzmann(0,SampleDoping,K50,298.15)))</f>
        <v>8311843608.6448288</v>
      </c>
      <c r="W50" s="40" t="str">
        <f t="shared" si="13"/>
        <v/>
      </c>
      <c r="X50" s="58" t="e">
        <f>IF(AND(A50&gt;TimeofMaxCD,I50&gt;Traps),IF(AugerModel="Sinton",CalcImpliedV(SampleDoping,O50),CalcImpliedVRichter(O50,SampleDoping,V50)),"")</f>
        <v>#DIV/0!</v>
      </c>
      <c r="Y50" s="37" t="e">
        <f t="shared" si="30"/>
        <v>#DIV/0!</v>
      </c>
      <c r="Z50" s="41" t="str">
        <f t="shared" si="31"/>
        <v/>
      </c>
    </row>
    <row r="51" spans="1:26">
      <c r="A51" s="53">
        <v>1.08799E-2</v>
      </c>
      <c r="B51" s="53">
        <v>1.1132200000000001E-3</v>
      </c>
      <c r="C51" s="54">
        <v>3.46898E-3</v>
      </c>
      <c r="D51" s="58">
        <f>IF(CouplingMode="AC",B51-(A$11-A$10)*SUM(B$9:B51)/0.21,B51)</f>
        <v>1.1132200000000001E-3</v>
      </c>
      <c r="E51" s="55">
        <f t="shared" si="19"/>
        <v>0.31880707792789309</v>
      </c>
      <c r="F51" s="55">
        <f t="shared" si="20"/>
        <v>0.31880707792789309</v>
      </c>
      <c r="G51" s="56">
        <f t="shared" si="21"/>
        <v>5.293550732136052E+16</v>
      </c>
      <c r="H51" s="77">
        <f t="shared" si="22"/>
        <v>3.6091746827428273E-5</v>
      </c>
      <c r="I51" s="56">
        <f t="shared" si="23"/>
        <v>2354500920614.0264</v>
      </c>
      <c r="J51" s="56" t="str">
        <f t="shared" si="24"/>
        <v/>
      </c>
      <c r="K51" s="56">
        <f t="shared" si="25"/>
        <v>2354500920614.0264</v>
      </c>
      <c r="L51" s="51">
        <f t="shared" si="32"/>
        <v>-1235998250759835.5</v>
      </c>
      <c r="M51" s="46" t="str">
        <f t="shared" si="26"/>
        <v/>
      </c>
      <c r="N51" s="46" t="str">
        <f t="shared" si="27"/>
        <v/>
      </c>
      <c r="O51" s="51" t="e">
        <f t="shared" si="28"/>
        <v>#DIV/0!</v>
      </c>
      <c r="P51" s="56">
        <f t="shared" si="33"/>
        <v>2.3707130699036096E-6</v>
      </c>
      <c r="Q51" s="51" t="str">
        <f t="shared" si="34"/>
        <v/>
      </c>
      <c r="R51" s="40" t="str">
        <f t="shared" si="35"/>
        <v/>
      </c>
      <c r="S51" s="57">
        <f>IF(AND(E51&gt;0.95*BiasLight,E51&lt;1.05*BiasLight),"",IF(AugerModel="Sinton",calclifetimeauger(Auger_Coefficient,I51,P51),calclifetimerichter(SampleType,I51,SampleDoping,P51)))</f>
        <v>421814.00365224195</v>
      </c>
      <c r="T51" s="295" t="str">
        <f t="shared" si="36"/>
        <v/>
      </c>
      <c r="U51" s="57" t="e">
        <f t="shared" si="29"/>
        <v>#DIV/0!</v>
      </c>
      <c r="V51" s="40">
        <f>IF(AugerModel="Sinton","",IF(SampleType="n-type",n_intr_boltzmann(SampleDoping,0,K51,298.15),n_intr_boltzmann(0,SampleDoping,K51,298.15)))</f>
        <v>8311717985.6561375</v>
      </c>
      <c r="W51" s="40" t="str">
        <f t="shared" si="13"/>
        <v/>
      </c>
      <c r="X51" s="58" t="e">
        <f>IF(AND(A51&gt;TimeofMaxCD,I51&gt;Traps),IF(AugerModel="Sinton",CalcImpliedV(SampleDoping,O51),CalcImpliedVRichter(O51,SampleDoping,V51)),"")</f>
        <v>#DIV/0!</v>
      </c>
      <c r="Y51" s="37" t="e">
        <f t="shared" si="30"/>
        <v>#DIV/0!</v>
      </c>
      <c r="Z51" s="41" t="str">
        <f t="shared" si="31"/>
        <v/>
      </c>
    </row>
    <row r="52" spans="1:26">
      <c r="A52" s="53">
        <v>1.1135900000000001E-2</v>
      </c>
      <c r="B52" s="53">
        <v>8.9616700000000001E-4</v>
      </c>
      <c r="C52" s="54">
        <v>3.0489800000000002E-3</v>
      </c>
      <c r="D52" s="58">
        <f>IF(CouplingMode="AC",B52-(A$11-A$10)*SUM(B$9:B52)/0.21,B52)</f>
        <v>8.9616700000000001E-4</v>
      </c>
      <c r="E52" s="55">
        <f t="shared" si="19"/>
        <v>0.2802081316296397</v>
      </c>
      <c r="F52" s="55">
        <f t="shared" si="20"/>
        <v>0.2802081316296397</v>
      </c>
      <c r="G52" s="56">
        <f t="shared" si="21"/>
        <v>4.6526443828641792E+16</v>
      </c>
      <c r="H52" s="77">
        <f t="shared" si="22"/>
        <v>2.9054611967539723E-5</v>
      </c>
      <c r="I52" s="56">
        <f t="shared" si="23"/>
        <v>1895400426455.5352</v>
      </c>
      <c r="J52" s="56" t="str">
        <f t="shared" si="24"/>
        <v/>
      </c>
      <c r="K52" s="56">
        <f t="shared" si="25"/>
        <v>1895400426455.5352</v>
      </c>
      <c r="L52" s="51">
        <f t="shared" si="32"/>
        <v>-1192644302264697.7</v>
      </c>
      <c r="M52" s="46" t="str">
        <f t="shared" si="26"/>
        <v/>
      </c>
      <c r="N52" s="46" t="str">
        <f t="shared" si="27"/>
        <v/>
      </c>
      <c r="O52" s="51" t="e">
        <f t="shared" si="28"/>
        <v>#DIV/0!</v>
      </c>
      <c r="P52" s="56">
        <f t="shared" si="33"/>
        <v>2.171342454242954E-6</v>
      </c>
      <c r="Q52" s="51" t="str">
        <f t="shared" si="34"/>
        <v/>
      </c>
      <c r="R52" s="40" t="str">
        <f t="shared" si="35"/>
        <v/>
      </c>
      <c r="S52" s="57">
        <f>IF(AND(E52&gt;0.95*BiasLight,E52&lt;1.05*BiasLight),"",IF(AugerModel="Sinton",calclifetimeauger(Auger_Coefficient,I52,P52),calclifetimerichter(SampleType,I52,SampleDoping,P52)))</f>
        <v>460544.57096246316</v>
      </c>
      <c r="T52" s="295" t="str">
        <f t="shared" si="36"/>
        <v/>
      </c>
      <c r="U52" s="57" t="e">
        <f t="shared" si="29"/>
        <v>#DIV/0!</v>
      </c>
      <c r="V52" s="40">
        <f>IF(AugerModel="Sinton","",IF(SampleType="n-type",n_intr_boltzmann(SampleDoping,0,K52,298.15),n_intr_boltzmann(0,SampleDoping,K52,298.15)))</f>
        <v>8311545646.7347708</v>
      </c>
      <c r="W52" s="40" t="str">
        <f t="shared" si="13"/>
        <v/>
      </c>
      <c r="X52" s="58" t="e">
        <f>IF(AND(A52&gt;TimeofMaxCD,I52&gt;Traps),IF(AugerModel="Sinton",CalcImpliedV(SampleDoping,O52),CalcImpliedVRichter(O52,SampleDoping,V52)),"")</f>
        <v>#DIV/0!</v>
      </c>
      <c r="Y52" s="37" t="e">
        <f t="shared" si="30"/>
        <v>#DIV/0!</v>
      </c>
      <c r="Z52" s="41" t="str">
        <f t="shared" si="31"/>
        <v/>
      </c>
    </row>
    <row r="53" spans="1:26">
      <c r="A53" s="53">
        <v>1.13919E-2</v>
      </c>
      <c r="B53" s="53">
        <v>7.9049999999999997E-4</v>
      </c>
      <c r="C53" s="54">
        <v>2.6682699999999999E-3</v>
      </c>
      <c r="D53" s="58">
        <f>IF(CouplingMode="AC",B53-(A$11-A$10)*SUM(B$9:B53)/0.21,B53)</f>
        <v>7.9049999999999997E-4</v>
      </c>
      <c r="E53" s="55">
        <f t="shared" si="19"/>
        <v>0.24522002485533478</v>
      </c>
      <c r="F53" s="55">
        <f t="shared" si="20"/>
        <v>0.24522002485533478</v>
      </c>
      <c r="G53" s="56">
        <f t="shared" si="21"/>
        <v>4.071693296599192E+16</v>
      </c>
      <c r="H53" s="77">
        <f t="shared" si="22"/>
        <v>2.562876220228022E-5</v>
      </c>
      <c r="I53" s="56">
        <f t="shared" si="23"/>
        <v>1671902917853.1631</v>
      </c>
      <c r="J53" s="56" t="str">
        <f t="shared" si="24"/>
        <v/>
      </c>
      <c r="K53" s="56">
        <f t="shared" si="25"/>
        <v>1671902917853.1631</v>
      </c>
      <c r="L53" s="51">
        <f t="shared" si="32"/>
        <v>-1118393303843711.2</v>
      </c>
      <c r="M53" s="46" t="str">
        <f t="shared" si="26"/>
        <v/>
      </c>
      <c r="N53" s="46" t="str">
        <f t="shared" si="27"/>
        <v/>
      </c>
      <c r="O53" s="51" t="e">
        <f t="shared" si="28"/>
        <v>#DIV/0!</v>
      </c>
      <c r="P53" s="56">
        <f t="shared" si="33"/>
        <v>2.1885839386773833E-6</v>
      </c>
      <c r="Q53" s="51" t="str">
        <f t="shared" si="34"/>
        <v/>
      </c>
      <c r="R53" s="40" t="str">
        <f t="shared" si="35"/>
        <v/>
      </c>
      <c r="S53" s="57">
        <f>IF(AND(E53&gt;0.95*BiasLight,E53&lt;1.05*BiasLight),"",IF(AugerModel="Sinton",calclifetimeauger(Auger_Coefficient,I53,P53),calclifetimerichter(SampleType,I53,SampleDoping,P53)))</f>
        <v>456916.43973793142</v>
      </c>
      <c r="T53" s="295" t="str">
        <f t="shared" si="36"/>
        <v/>
      </c>
      <c r="U53" s="57" t="e">
        <f t="shared" si="29"/>
        <v>#DIV/0!</v>
      </c>
      <c r="V53" s="40">
        <f>IF(AugerModel="Sinton","",IF(SampleType="n-type",n_intr_boltzmann(SampleDoping,0,K53,298.15),n_intr_boltzmann(0,SampleDoping,K53,298.15)))</f>
        <v>8311462170.6577082</v>
      </c>
      <c r="W53" s="40" t="str">
        <f t="shared" si="13"/>
        <v/>
      </c>
      <c r="X53" s="58" t="e">
        <f>IF(AND(A53&gt;TimeofMaxCD,I53&gt;Traps),IF(AugerModel="Sinton",CalcImpliedV(SampleDoping,O53),CalcImpliedVRichter(O53,SampleDoping,V53)),"")</f>
        <v>#DIV/0!</v>
      </c>
      <c r="Y53" s="37" t="e">
        <f t="shared" si="30"/>
        <v>#DIV/0!</v>
      </c>
      <c r="Z53" s="41" t="str">
        <f t="shared" si="31"/>
        <v/>
      </c>
    </row>
    <row r="54" spans="1:26">
      <c r="A54" s="53">
        <v>1.1647899999999999E-2</v>
      </c>
      <c r="B54" s="53">
        <v>7.1020100000000004E-4</v>
      </c>
      <c r="C54" s="54">
        <v>2.32438E-3</v>
      </c>
      <c r="D54" s="58">
        <f>IF(CouplingMode="AC",B54-(A$11-A$10)*SUM(B$9:B54)/0.21,B54)</f>
        <v>7.1020100000000004E-4</v>
      </c>
      <c r="E54" s="55">
        <f t="shared" si="19"/>
        <v>0.21361575903984345</v>
      </c>
      <c r="F54" s="55">
        <f t="shared" si="20"/>
        <v>0.21361575903984345</v>
      </c>
      <c r="G54" s="56">
        <f t="shared" si="21"/>
        <v>3.546928333620372E+16</v>
      </c>
      <c r="H54" s="77">
        <f t="shared" si="22"/>
        <v>2.3025377111088319E-5</v>
      </c>
      <c r="I54" s="56">
        <f t="shared" si="23"/>
        <v>1502063516666.428</v>
      </c>
      <c r="J54" s="56" t="str">
        <f t="shared" si="24"/>
        <v/>
      </c>
      <c r="K54" s="56">
        <f t="shared" si="25"/>
        <v>1502063516666.428</v>
      </c>
      <c r="L54" s="51">
        <f t="shared" si="32"/>
        <v>-571563621233698.87</v>
      </c>
      <c r="M54" s="46" t="str">
        <f t="shared" si="26"/>
        <v/>
      </c>
      <c r="N54" s="46" t="str">
        <f t="shared" si="27"/>
        <v/>
      </c>
      <c r="O54" s="51" t="e">
        <f t="shared" si="28"/>
        <v>#DIV/0!</v>
      </c>
      <c r="P54" s="56">
        <f t="shared" si="33"/>
        <v>2.2571638868328327E-6</v>
      </c>
      <c r="Q54" s="51" t="str">
        <f t="shared" si="34"/>
        <v/>
      </c>
      <c r="R54" s="40" t="str">
        <f t="shared" si="35"/>
        <v/>
      </c>
      <c r="S54" s="57">
        <f>IF(AND(E54&gt;0.95*BiasLight,E54&lt;1.05*BiasLight),"",IF(AugerModel="Sinton",calclifetimeauger(Auger_Coefficient,I54,P54),calclifetimerichter(SampleType,I54,SampleDoping,P54)))</f>
        <v>443033.83929289004</v>
      </c>
      <c r="T54" s="295" t="str">
        <f t="shared" si="36"/>
        <v/>
      </c>
      <c r="U54" s="57" t="e">
        <f t="shared" si="29"/>
        <v>#DIV/0!</v>
      </c>
      <c r="V54" s="40">
        <f>IF(AugerModel="Sinton","",IF(SampleType="n-type",n_intr_boltzmann(SampleDoping,0,K54,298.15),n_intr_boltzmann(0,SampleDoping,K54,298.15)))</f>
        <v>8311398931.6908321</v>
      </c>
      <c r="W54" s="40" t="str">
        <f t="shared" si="13"/>
        <v/>
      </c>
      <c r="X54" s="58" t="e">
        <f>IF(AND(A54&gt;TimeofMaxCD,I54&gt;Traps),IF(AugerModel="Sinton",CalcImpliedV(SampleDoping,O54),CalcImpliedVRichter(O54,SampleDoping,V54)),"")</f>
        <v>#DIV/0!</v>
      </c>
      <c r="Y54" s="37" t="e">
        <f t="shared" si="30"/>
        <v>#DIV/0!</v>
      </c>
      <c r="Z54" s="41" t="str">
        <f t="shared" si="31"/>
        <v/>
      </c>
    </row>
    <row r="55" spans="1:26">
      <c r="A55" s="53">
        <v>1.19039E-2</v>
      </c>
      <c r="B55" s="53">
        <v>5.2938400000000004E-4</v>
      </c>
      <c r="C55" s="54">
        <v>2.0201500000000001E-3</v>
      </c>
      <c r="D55" s="58">
        <f>IF(CouplingMode="AC",B55-(A$11-A$10)*SUM(B$9:B55)/0.21,B55)</f>
        <v>5.2938400000000004E-4</v>
      </c>
      <c r="E55" s="55">
        <f t="shared" si="19"/>
        <v>0.18565633658194433</v>
      </c>
      <c r="F55" s="55">
        <f t="shared" si="20"/>
        <v>0.18565633658194433</v>
      </c>
      <c r="G55" s="56">
        <f t="shared" si="21"/>
        <v>3.082683241622796E+16</v>
      </c>
      <c r="H55" s="77">
        <f t="shared" si="22"/>
        <v>1.7163096409950063E-5</v>
      </c>
      <c r="I55" s="56">
        <f t="shared" si="23"/>
        <v>1119625946588.6301</v>
      </c>
      <c r="J55" s="56" t="str">
        <f t="shared" si="24"/>
        <v/>
      </c>
      <c r="K55" s="56">
        <f t="shared" si="25"/>
        <v>1119625946588.6301</v>
      </c>
      <c r="L55" s="51">
        <f t="shared" si="32"/>
        <v>-539882532764340.06</v>
      </c>
      <c r="M55" s="46" t="str">
        <f t="shared" si="26"/>
        <v/>
      </c>
      <c r="N55" s="46" t="str">
        <f t="shared" si="27"/>
        <v/>
      </c>
      <c r="O55" s="51" t="e">
        <f t="shared" si="28"/>
        <v>#DIV/0!</v>
      </c>
      <c r="P55" s="56">
        <f t="shared" si="33"/>
        <v>1.9358480348360128E-6</v>
      </c>
      <c r="Q55" s="51" t="str">
        <f t="shared" si="34"/>
        <v/>
      </c>
      <c r="R55" s="40" t="str">
        <f t="shared" si="35"/>
        <v/>
      </c>
      <c r="S55" s="57">
        <f>IF(AND(E55&gt;0.95*BiasLight,E55&lt;1.05*BiasLight),"",IF(AugerModel="Sinton",calclifetimeauger(Auger_Coefficient,I55,P55),calclifetimerichter(SampleType,I55,SampleDoping,P55)))</f>
        <v>516569.46771561657</v>
      </c>
      <c r="T55" s="295" t="str">
        <f t="shared" si="36"/>
        <v/>
      </c>
      <c r="U55" s="57" t="e">
        <f t="shared" si="29"/>
        <v>#DIV/0!</v>
      </c>
      <c r="V55" s="40">
        <f>IF(AugerModel="Sinton","",IF(SampleType="n-type",n_intr_boltzmann(SampleDoping,0,K55,298.15),n_intr_boltzmann(0,SampleDoping,K55,298.15)))</f>
        <v>8311257186.5976477</v>
      </c>
      <c r="W55" s="40" t="str">
        <f t="shared" si="13"/>
        <v/>
      </c>
      <c r="X55" s="58" t="e">
        <f>IF(AND(A55&gt;TimeofMaxCD,I55&gt;Traps),IF(AugerModel="Sinton",CalcImpliedV(SampleDoping,O55),CalcImpliedVRichter(O55,SampleDoping,V55)),"")</f>
        <v>#DIV/0!</v>
      </c>
      <c r="Y55" s="37" t="e">
        <f t="shared" si="30"/>
        <v>#DIV/0!</v>
      </c>
      <c r="Z55" s="41" t="str">
        <f t="shared" si="31"/>
        <v/>
      </c>
    </row>
    <row r="56" spans="1:26">
      <c r="A56" s="53">
        <v>1.21599E-2</v>
      </c>
      <c r="B56" s="53">
        <v>6.8082799999999997E-4</v>
      </c>
      <c r="C56" s="54">
        <v>1.78498E-3</v>
      </c>
      <c r="D56" s="58">
        <f>IF(CouplingMode="AC",B56-(A$11-A$10)*SUM(B$9:B56)/0.21,B56)</f>
        <v>6.8082799999999997E-4</v>
      </c>
      <c r="E56" s="55">
        <f t="shared" si="19"/>
        <v>0.16404368372251515</v>
      </c>
      <c r="F56" s="55">
        <f t="shared" si="20"/>
        <v>0.16404368372251515</v>
      </c>
      <c r="G56" s="56">
        <f t="shared" si="21"/>
        <v>2.7238214650554948E+16</v>
      </c>
      <c r="H56" s="77">
        <f t="shared" si="22"/>
        <v>2.2073071829817326E-5</v>
      </c>
      <c r="I56" s="56">
        <f t="shared" si="23"/>
        <v>1439937476908.6677</v>
      </c>
      <c r="J56" s="56" t="str">
        <f t="shared" si="24"/>
        <v/>
      </c>
      <c r="K56" s="56">
        <f t="shared" si="25"/>
        <v>1439937476908.6677</v>
      </c>
      <c r="L56" s="51">
        <f t="shared" si="32"/>
        <v>-255759578009107.31</v>
      </c>
      <c r="M56" s="46" t="str">
        <f t="shared" si="26"/>
        <v/>
      </c>
      <c r="N56" s="46" t="str">
        <f t="shared" si="27"/>
        <v/>
      </c>
      <c r="O56" s="51" t="e">
        <f t="shared" si="28"/>
        <v>#DIV/0!</v>
      </c>
      <c r="P56" s="56">
        <f t="shared" si="33"/>
        <v>2.817683482704632E-6</v>
      </c>
      <c r="Q56" s="51" t="str">
        <f t="shared" si="34"/>
        <v/>
      </c>
      <c r="R56" s="40" t="str">
        <f t="shared" si="35"/>
        <v/>
      </c>
      <c r="S56" s="57">
        <f>IF(AND(E56&gt;0.95*BiasLight,E56&lt;1.05*BiasLight),"",IF(AugerModel="Sinton",calclifetimeauger(Auger_Coefficient,I56,P56),calclifetimerichter(SampleType,I56,SampleDoping,P56)))</f>
        <v>354901.45909938781</v>
      </c>
      <c r="T56" s="295" t="str">
        <f t="shared" si="36"/>
        <v/>
      </c>
      <c r="U56" s="57" t="e">
        <f t="shared" si="29"/>
        <v>#DIV/0!</v>
      </c>
      <c r="V56" s="40">
        <f>IF(AugerModel="Sinton","",IF(SampleType="n-type",n_intr_boltzmann(SampleDoping,0,K56,298.15),n_intr_boltzmann(0,SampleDoping,K56,298.15)))</f>
        <v>8311375842.9478817</v>
      </c>
      <c r="W56" s="40" t="str">
        <f t="shared" si="13"/>
        <v/>
      </c>
      <c r="X56" s="58" t="e">
        <f>IF(AND(A56&gt;TimeofMaxCD,I56&gt;Traps),IF(AugerModel="Sinton",CalcImpliedV(SampleDoping,O56),CalcImpliedVRichter(O56,SampleDoping,V56)),"")</f>
        <v>#DIV/0!</v>
      </c>
      <c r="Y56" s="37" t="e">
        <f t="shared" si="30"/>
        <v>#DIV/0!</v>
      </c>
      <c r="Z56" s="41" t="str">
        <f t="shared" si="31"/>
        <v/>
      </c>
    </row>
    <row r="57" spans="1:26">
      <c r="A57" s="53">
        <v>1.2415900000000001E-2</v>
      </c>
      <c r="B57" s="53">
        <v>4.7845800000000002E-4</v>
      </c>
      <c r="C57" s="54">
        <v>1.5385500000000001E-3</v>
      </c>
      <c r="D57" s="58">
        <f>IF(CouplingMode="AC",B57-(A$11-A$10)*SUM(B$9:B57)/0.21,B57)</f>
        <v>4.7845800000000002E-4</v>
      </c>
      <c r="E57" s="55">
        <f t="shared" si="19"/>
        <v>0.14139621149328041</v>
      </c>
      <c r="F57" s="55">
        <f t="shared" si="20"/>
        <v>0.14139621149328041</v>
      </c>
      <c r="G57" s="56">
        <f t="shared" si="21"/>
        <v>2.3477772944577144E+16</v>
      </c>
      <c r="H57" s="77">
        <f t="shared" si="22"/>
        <v>1.5512024100022836E-5</v>
      </c>
      <c r="I57" s="56">
        <f t="shared" si="23"/>
        <v>1011916295793.688</v>
      </c>
      <c r="J57" s="56" t="str">
        <f t="shared" si="24"/>
        <v/>
      </c>
      <c r="K57" s="56">
        <f t="shared" si="25"/>
        <v>1011916295793.688</v>
      </c>
      <c r="L57" s="51">
        <f t="shared" si="32"/>
        <v>-957282456200659.12</v>
      </c>
      <c r="M57" s="46" t="str">
        <f t="shared" si="26"/>
        <v/>
      </c>
      <c r="N57" s="46" t="str">
        <f t="shared" si="27"/>
        <v/>
      </c>
      <c r="O57" s="51" t="e">
        <f t="shared" si="28"/>
        <v>#DIV/0!</v>
      </c>
      <c r="P57" s="56">
        <f t="shared" si="33"/>
        <v>2.2972851255153405E-6</v>
      </c>
      <c r="Q57" s="51" t="str">
        <f t="shared" si="34"/>
        <v/>
      </c>
      <c r="R57" s="40" t="str">
        <f t="shared" si="35"/>
        <v/>
      </c>
      <c r="S57" s="57">
        <f>IF(AND(E57&gt;0.95*BiasLight,E57&lt;1.05*BiasLight),"",IF(AugerModel="Sinton",calclifetimeauger(Auger_Coefficient,I57,P57),calclifetimerichter(SampleType,I57,SampleDoping,P57)))</f>
        <v>435296.41881281725</v>
      </c>
      <c r="T57" s="295" t="str">
        <f t="shared" si="36"/>
        <v/>
      </c>
      <c r="U57" s="57" t="e">
        <f t="shared" si="29"/>
        <v>#DIV/0!</v>
      </c>
      <c r="V57" s="40">
        <f>IF(AugerModel="Sinton","",IF(SampleType="n-type",n_intr_boltzmann(SampleDoping,0,K57,298.15),n_intr_boltzmann(0,SampleDoping,K57,298.15)))</f>
        <v>8311217436.6373329</v>
      </c>
      <c r="W57" s="40" t="str">
        <f t="shared" si="13"/>
        <v/>
      </c>
      <c r="X57" s="58" t="e">
        <f>IF(AND(A57&gt;TimeofMaxCD,I57&gt;Traps),IF(AugerModel="Sinton",CalcImpliedV(SampleDoping,O57),CalcImpliedVRichter(O57,SampleDoping,V57)),"")</f>
        <v>#DIV/0!</v>
      </c>
      <c r="Y57" s="37" t="e">
        <f t="shared" si="30"/>
        <v>#DIV/0!</v>
      </c>
      <c r="Z57" s="41" t="str">
        <f t="shared" si="31"/>
        <v/>
      </c>
    </row>
    <row r="58" spans="1:26">
      <c r="A58" s="53">
        <v>1.26719E-2</v>
      </c>
      <c r="B58" s="53">
        <v>5.8088200000000001E-4</v>
      </c>
      <c r="C58" s="54">
        <v>8.7326500000000002E-4</v>
      </c>
      <c r="D58" s="58">
        <f>IF(CouplingMode="AC",B58-(A$11-A$10)*SUM(B$9:B58)/0.21,B58)</f>
        <v>5.8088200000000001E-4</v>
      </c>
      <c r="E58" s="55">
        <f t="shared" si="19"/>
        <v>8.0255021045581562E-2</v>
      </c>
      <c r="F58" s="55">
        <f t="shared" si="20"/>
        <v>8.0255021045581562E-2</v>
      </c>
      <c r="G58" s="56">
        <f t="shared" si="21"/>
        <v>1.3325740073735764E+16</v>
      </c>
      <c r="H58" s="77">
        <f t="shared" si="22"/>
        <v>1.8832714933934847E-5</v>
      </c>
      <c r="I58" s="56">
        <f t="shared" si="23"/>
        <v>1228546082212.2422</v>
      </c>
      <c r="J58" s="56" t="str">
        <f t="shared" si="24"/>
        <v/>
      </c>
      <c r="K58" s="56">
        <f t="shared" si="25"/>
        <v>1228546082212.2422</v>
      </c>
      <c r="L58" s="51">
        <f t="shared" si="32"/>
        <v>-1520230839691806</v>
      </c>
      <c r="M58" s="46" t="str">
        <f t="shared" si="26"/>
        <v/>
      </c>
      <c r="N58" s="46" t="str">
        <f t="shared" si="27"/>
        <v/>
      </c>
      <c r="O58" s="51" t="e">
        <f t="shared" si="28"/>
        <v>#DIV/0!</v>
      </c>
      <c r="P58" s="56">
        <f t="shared" si="33"/>
        <v>4.9139114090160469E-6</v>
      </c>
      <c r="Q58" s="51" t="str">
        <f t="shared" si="34"/>
        <v/>
      </c>
      <c r="R58" s="40" t="str">
        <f t="shared" si="35"/>
        <v/>
      </c>
      <c r="S58" s="57">
        <f>IF(AND(E58&gt;0.95*BiasLight,E58&lt;1.05*BiasLight),"",IF(AugerModel="Sinton",calclifetimeauger(Auger_Coefficient,I58,P58),calclifetimerichter(SampleType,I58,SampleDoping,P58)))</f>
        <v>203503.86605386264</v>
      </c>
      <c r="T58" s="295" t="str">
        <f t="shared" si="36"/>
        <v/>
      </c>
      <c r="U58" s="57" t="e">
        <f t="shared" si="29"/>
        <v>#DIV/0!</v>
      </c>
      <c r="V58" s="40">
        <f>IF(AugerModel="Sinton","",IF(SampleType="n-type",n_intr_boltzmann(SampleDoping,0,K58,298.15),n_intr_boltzmann(0,SampleDoping,K58,298.15)))</f>
        <v>8311297461.2037926</v>
      </c>
      <c r="W58" s="40" t="str">
        <f t="shared" si="13"/>
        <v/>
      </c>
      <c r="X58" s="58" t="e">
        <f>IF(AND(A58&gt;TimeofMaxCD,I58&gt;Traps),IF(AugerModel="Sinton",CalcImpliedV(SampleDoping,O58),CalcImpliedVRichter(O58,SampleDoping,V58)),"")</f>
        <v>#DIV/0!</v>
      </c>
      <c r="Y58" s="37" t="e">
        <f t="shared" si="30"/>
        <v>#DIV/0!</v>
      </c>
      <c r="Z58" s="41" t="str">
        <f t="shared" si="31"/>
        <v/>
      </c>
    </row>
    <row r="59" spans="1:26">
      <c r="A59" s="53">
        <v>1.2927900000000001E-2</v>
      </c>
      <c r="B59" s="53">
        <v>-9.7370700000000006E-5</v>
      </c>
      <c r="C59" s="54">
        <v>8.6101799999999996E-5</v>
      </c>
      <c r="D59" s="58">
        <f>IF(CouplingMode="AC",B59-(A$11-A$10)*SUM(B$9:B59)/0.21,B59)</f>
        <v>-9.7370700000000006E-5</v>
      </c>
      <c r="E59" s="55">
        <f t="shared" si="19"/>
        <v>7.9129494151975108E-3</v>
      </c>
      <c r="F59" s="55">
        <f t="shared" si="20"/>
        <v>7.9129494151975108E-3</v>
      </c>
      <c r="G59" s="56">
        <f t="shared" si="21"/>
        <v>1313885483422308</v>
      </c>
      <c r="H59" s="77">
        <f t="shared" si="22"/>
        <v>-3.1568278526517002E-6</v>
      </c>
      <c r="I59" s="56">
        <f t="shared" si="23"/>
        <v>100000</v>
      </c>
      <c r="J59" s="56" t="str">
        <f t="shared" si="24"/>
        <v/>
      </c>
      <c r="K59" s="56">
        <f t="shared" si="25"/>
        <v>100000</v>
      </c>
      <c r="L59" s="51">
        <f t="shared" si="32"/>
        <v>-1270460302265477.7</v>
      </c>
      <c r="M59" s="46" t="str">
        <f t="shared" si="26"/>
        <v/>
      </c>
      <c r="N59" s="46" t="str">
        <f t="shared" si="27"/>
        <v/>
      </c>
      <c r="O59" s="51" t="e">
        <f t="shared" si="28"/>
        <v>#DIV/0!</v>
      </c>
      <c r="P59" s="56">
        <f t="shared" si="33"/>
        <v>4.056670133927369E-12</v>
      </c>
      <c r="Q59" s="51" t="str">
        <f t="shared" si="34"/>
        <v/>
      </c>
      <c r="R59" s="40" t="str">
        <f t="shared" si="35"/>
        <v/>
      </c>
      <c r="S59" s="57">
        <f>IF(AND(E59&gt;0.95*BiasLight,E59&lt;1.05*BiasLight),"",IF(AugerModel="Sinton",calclifetimeauger(Auger_Coefficient,I59,P59),calclifetimerichter(SampleType,I59,SampleDoping,P59)))</f>
        <v>246507595388.80075</v>
      </c>
      <c r="T59" s="295" t="str">
        <f t="shared" si="36"/>
        <v/>
      </c>
      <c r="U59" s="57" t="e">
        <f t="shared" si="29"/>
        <v>#DIV/0!</v>
      </c>
      <c r="V59" s="40">
        <f>IF(AugerModel="Sinton","",IF(SampleType="n-type",n_intr_boltzmann(SampleDoping,0,K59,298.15),n_intr_boltzmann(0,SampleDoping,K59,298.15)))</f>
        <v>8310848067.6308546</v>
      </c>
      <c r="W59" s="40" t="str">
        <f t="shared" si="13"/>
        <v/>
      </c>
      <c r="X59" s="58" t="e">
        <f>IF(AND(A59&gt;TimeofMaxCD,I59&gt;Traps),IF(AugerModel="Sinton",CalcImpliedV(SampleDoping,O59),CalcImpliedVRichter(O59,SampleDoping,V59)),"")</f>
        <v>#DIV/0!</v>
      </c>
      <c r="Y59" s="37" t="e">
        <f t="shared" si="30"/>
        <v>#DIV/0!</v>
      </c>
      <c r="Z59" s="41" t="str">
        <f t="shared" si="31"/>
        <v/>
      </c>
    </row>
    <row r="60" spans="1:26">
      <c r="A60" s="53">
        <v>1.31839E-2</v>
      </c>
      <c r="B60" s="53">
        <v>-2.7093899999999999E-4</v>
      </c>
      <c r="C60" s="54">
        <v>1.24781E-5</v>
      </c>
      <c r="D60" s="58">
        <f>IF(CouplingMode="AC",B60-(A$11-A$10)*SUM(B$9:B60)/0.21,B60)</f>
        <v>-2.7093899999999999E-4</v>
      </c>
      <c r="E60" s="55">
        <f t="shared" si="19"/>
        <v>1.1467655042957995E-3</v>
      </c>
      <c r="F60" s="55">
        <f t="shared" si="20"/>
        <v>1.1467655042957995E-3</v>
      </c>
      <c r="G60" s="56">
        <f t="shared" si="21"/>
        <v>190411750401175.16</v>
      </c>
      <c r="H60" s="77">
        <f t="shared" si="22"/>
        <v>-8.7840240333286745E-6</v>
      </c>
      <c r="I60" s="56">
        <f t="shared" si="23"/>
        <v>100000</v>
      </c>
      <c r="J60" s="56" t="str">
        <f t="shared" si="24"/>
        <v/>
      </c>
      <c r="K60" s="56">
        <f t="shared" si="25"/>
        <v>100000</v>
      </c>
      <c r="L60" s="51">
        <f t="shared" si="32"/>
        <v>-959801548603315</v>
      </c>
      <c r="M60" s="46" t="str">
        <f t="shared" si="26"/>
        <v/>
      </c>
      <c r="N60" s="46" t="str">
        <f t="shared" si="27"/>
        <v/>
      </c>
      <c r="O60" s="51" t="e">
        <f t="shared" si="28"/>
        <v>#DIV/0!</v>
      </c>
      <c r="P60" s="56">
        <f t="shared" si="33"/>
        <v>2.7991969974386124E-11</v>
      </c>
      <c r="Q60" s="51" t="str">
        <f t="shared" si="34"/>
        <v/>
      </c>
      <c r="R60" s="40" t="str">
        <f t="shared" si="35"/>
        <v/>
      </c>
      <c r="S60" s="57">
        <f>IF(AND(E60&gt;0.95*BiasLight,E60&lt;1.05*BiasLight),"",IF(AugerModel="Sinton",calclifetimeauger(Auger_Coefficient,I60,P60),calclifetimerichter(SampleType,I60,SampleDoping,P60)))</f>
        <v>35724531032.11541</v>
      </c>
      <c r="T60" s="295" t="str">
        <f t="shared" si="36"/>
        <v/>
      </c>
      <c r="U60" s="57" t="e">
        <f t="shared" si="29"/>
        <v>#DIV/0!</v>
      </c>
      <c r="V60" s="40">
        <f>IF(AugerModel="Sinton","",IF(SampleType="n-type",n_intr_boltzmann(SampleDoping,0,K60,298.15),n_intr_boltzmann(0,SampleDoping,K60,298.15)))</f>
        <v>8310848067.6308546</v>
      </c>
      <c r="W60" s="40" t="str">
        <f t="shared" si="13"/>
        <v/>
      </c>
      <c r="X60" s="58" t="e">
        <f>IF(AND(A60&gt;TimeofMaxCD,I60&gt;Traps),IF(AugerModel="Sinton",CalcImpliedV(SampleDoping,O60),CalcImpliedVRichter(O60,SampleDoping,V60)),"")</f>
        <v>#DIV/0!</v>
      </c>
      <c r="Y60" s="37" t="e">
        <f t="shared" si="30"/>
        <v>#DIV/0!</v>
      </c>
      <c r="Z60" s="41" t="str">
        <f t="shared" si="31"/>
        <v/>
      </c>
    </row>
    <row r="61" spans="1:26">
      <c r="A61" s="53">
        <v>1.3439899999999999E-2</v>
      </c>
      <c r="B61" s="53">
        <v>-4.5022999999999998E-4</v>
      </c>
      <c r="C61" s="54">
        <v>3.5135599999999999E-6</v>
      </c>
      <c r="D61" s="58">
        <f>IF(CouplingMode="AC",B61-(A$11-A$10)*SUM(B$9:B61)/0.21,B61)</f>
        <v>-4.5022999999999998E-4</v>
      </c>
      <c r="E61" s="55">
        <f t="shared" si="19"/>
        <v>3.2290408037069339E-4</v>
      </c>
      <c r="F61" s="55">
        <f t="shared" si="20"/>
        <v>3.2290408037069339E-4</v>
      </c>
      <c r="G61" s="56">
        <f t="shared" si="21"/>
        <v>53615783632087.664</v>
      </c>
      <c r="H61" s="77">
        <f t="shared" si="22"/>
        <v>-1.4596737083337474E-5</v>
      </c>
      <c r="I61" s="56">
        <f t="shared" si="23"/>
        <v>100000</v>
      </c>
      <c r="J61" s="56" t="str">
        <f t="shared" si="24"/>
        <v/>
      </c>
      <c r="K61" s="56">
        <f t="shared" si="25"/>
        <v>100000</v>
      </c>
      <c r="L61" s="51">
        <f t="shared" si="32"/>
        <v>-1000000000000</v>
      </c>
      <c r="M61" s="46" t="str">
        <f t="shared" si="26"/>
        <v/>
      </c>
      <c r="N61" s="46" t="str">
        <f t="shared" si="27"/>
        <v/>
      </c>
      <c r="O61" s="51" t="e">
        <f t="shared" si="28"/>
        <v>#DIV/0!</v>
      </c>
      <c r="P61" s="56">
        <f t="shared" si="33"/>
        <v>9.9411024868619704E-11</v>
      </c>
      <c r="Q61" s="51" t="str">
        <f t="shared" si="34"/>
        <v/>
      </c>
      <c r="R61" s="40" t="str">
        <f t="shared" si="35"/>
        <v/>
      </c>
      <c r="S61" s="57">
        <f>IF(AND(E61&gt;0.95*BiasLight,E61&lt;1.05*BiasLight),"",IF(AugerModel="Sinton",calclifetimeauger(Auger_Coefficient,I61,P61),calclifetimerichter(SampleType,I61,SampleDoping,P61)))</f>
        <v>10059246460.05397</v>
      </c>
      <c r="T61" s="295" t="str">
        <f t="shared" si="36"/>
        <v/>
      </c>
      <c r="U61" s="57" t="e">
        <f t="shared" si="29"/>
        <v>#DIV/0!</v>
      </c>
      <c r="V61" s="40">
        <f>IF(AugerModel="Sinton","",IF(SampleType="n-type",n_intr_boltzmann(SampleDoping,0,K61,298.15),n_intr_boltzmann(0,SampleDoping,K61,298.15)))</f>
        <v>8310848067.6308546</v>
      </c>
      <c r="W61" s="40" t="str">
        <f t="shared" si="13"/>
        <v/>
      </c>
      <c r="X61" s="58" t="e">
        <f>IF(AND(A61&gt;TimeofMaxCD,I61&gt;Traps),IF(AugerModel="Sinton",CalcImpliedV(SampleDoping,O61),CalcImpliedVRichter(O61,SampleDoping,V61)),"")</f>
        <v>#DIV/0!</v>
      </c>
      <c r="Y61" s="37" t="e">
        <f t="shared" si="30"/>
        <v>#DIV/0!</v>
      </c>
      <c r="Z61" s="41" t="str">
        <f t="shared" si="31"/>
        <v/>
      </c>
    </row>
    <row r="62" spans="1:26">
      <c r="A62" s="53">
        <v>1.36959E-2</v>
      </c>
      <c r="B62" s="53">
        <v>-3.0088499999999998E-4</v>
      </c>
      <c r="C62" s="54">
        <v>-4.8787700000000002E-6</v>
      </c>
      <c r="D62" s="58">
        <f>IF(CouplingMode="AC",B62-(A$11-A$10)*SUM(B$9:B62)/0.21,B62)</f>
        <v>-3.0088499999999998E-4</v>
      </c>
      <c r="E62" s="55">
        <f t="shared" si="19"/>
        <v>1.0000000000000001E-5</v>
      </c>
      <c r="F62" s="55">
        <f t="shared" si="20"/>
        <v>1.0000000000000001E-5</v>
      </c>
      <c r="G62" s="56">
        <f t="shared" si="21"/>
        <v>1660424469413.2334</v>
      </c>
      <c r="H62" s="77">
        <f t="shared" si="22"/>
        <v>-9.7548910447317616E-6</v>
      </c>
      <c r="I62" s="56">
        <f t="shared" si="23"/>
        <v>100000</v>
      </c>
      <c r="J62" s="56" t="str">
        <f t="shared" si="24"/>
        <v/>
      </c>
      <c r="K62" s="56">
        <f t="shared" si="25"/>
        <v>100000</v>
      </c>
      <c r="L62" s="51">
        <f t="shared" si="32"/>
        <v>-1000000000000</v>
      </c>
      <c r="M62" s="46" t="str">
        <f t="shared" si="26"/>
        <v/>
      </c>
      <c r="N62" s="46" t="str">
        <f t="shared" si="27"/>
        <v/>
      </c>
      <c r="O62" s="51" t="e">
        <f t="shared" si="28"/>
        <v>#DIV/0!</v>
      </c>
      <c r="P62" s="56">
        <f t="shared" si="33"/>
        <v>3.2100225563909774E-9</v>
      </c>
      <c r="Q62" s="51" t="str">
        <f t="shared" si="34"/>
        <v/>
      </c>
      <c r="R62" s="40" t="str">
        <f t="shared" si="35"/>
        <v/>
      </c>
      <c r="S62" s="57">
        <f>IF(AND(E62&gt;0.95*BiasLight,E62&lt;1.05*BiasLight),"",IF(AugerModel="Sinton",calclifetimeauger(Auger_Coefficient,I62,P62),calclifetimerichter(SampleType,I62,SampleDoping,P62)))</f>
        <v>311524290.69666672</v>
      </c>
      <c r="T62" s="295" t="str">
        <f t="shared" si="36"/>
        <v/>
      </c>
      <c r="U62" s="57" t="e">
        <f t="shared" si="29"/>
        <v>#DIV/0!</v>
      </c>
      <c r="V62" s="40">
        <f>IF(AugerModel="Sinton","",IF(SampleType="n-type",n_intr_boltzmann(SampleDoping,0,K62,298.15),n_intr_boltzmann(0,SampleDoping,K62,298.15)))</f>
        <v>8310848067.6308546</v>
      </c>
      <c r="W62" s="40" t="str">
        <f t="shared" si="13"/>
        <v/>
      </c>
      <c r="X62" s="58" t="e">
        <f>IF(AND(A62&gt;TimeofMaxCD,I62&gt;Traps),IF(AugerModel="Sinton",CalcImpliedV(SampleDoping,O62),CalcImpliedVRichter(O62,SampleDoping,V62)),"")</f>
        <v>#DIV/0!</v>
      </c>
      <c r="Y62" s="37" t="e">
        <f t="shared" si="30"/>
        <v>#DIV/0!</v>
      </c>
      <c r="Z62" s="41" t="str">
        <f t="shared" si="31"/>
        <v/>
      </c>
    </row>
    <row r="63" spans="1:26">
      <c r="A63" s="53">
        <v>1.39519E-2</v>
      </c>
      <c r="B63" s="53">
        <v>-5.5227300000000004E-4</v>
      </c>
      <c r="C63" s="54">
        <v>1.7246500000000002E-5</v>
      </c>
      <c r="D63" s="58">
        <f>IF(CouplingMode="AC",B63-(A$11-A$10)*SUM(B$9:B63)/0.21,B63)</f>
        <v>-5.5227300000000004E-4</v>
      </c>
      <c r="E63" s="55">
        <f t="shared" si="19"/>
        <v>1.5849922079353032E-3</v>
      </c>
      <c r="F63" s="55">
        <f t="shared" si="20"/>
        <v>1.5849922079353032E-3</v>
      </c>
      <c r="G63" s="56">
        <f t="shared" si="21"/>
        <v>263175984588508.53</v>
      </c>
      <c r="H63" s="77">
        <f t="shared" si="22"/>
        <v>-1.7905019789578314E-5</v>
      </c>
      <c r="I63" s="56">
        <f t="shared" si="23"/>
        <v>100000</v>
      </c>
      <c r="J63" s="56" t="str">
        <f t="shared" si="24"/>
        <v/>
      </c>
      <c r="K63" s="56">
        <f t="shared" si="25"/>
        <v>100000</v>
      </c>
      <c r="L63" s="51">
        <f t="shared" si="32"/>
        <v>-1000000000000</v>
      </c>
      <c r="M63" s="46" t="str">
        <f t="shared" si="26"/>
        <v/>
      </c>
      <c r="N63" s="46" t="str">
        <f t="shared" si="27"/>
        <v/>
      </c>
      <c r="O63" s="51" t="e">
        <f t="shared" si="28"/>
        <v>#DIV/0!</v>
      </c>
      <c r="P63" s="56">
        <f t="shared" si="33"/>
        <v>2.0252607806649893E-11</v>
      </c>
      <c r="Q63" s="51" t="str">
        <f t="shared" si="34"/>
        <v/>
      </c>
      <c r="R63" s="40" t="str">
        <f t="shared" si="35"/>
        <v/>
      </c>
      <c r="S63" s="57">
        <f>IF(AND(E63&gt;0.95*BiasLight,E63&lt;1.05*BiasLight),"",IF(AugerModel="Sinton",calclifetimeauger(Auger_Coefficient,I63,P63),calclifetimerichter(SampleType,I63,SampleDoping,P63)))</f>
        <v>49376357333.678902</v>
      </c>
      <c r="T63" s="295" t="str">
        <f t="shared" si="36"/>
        <v/>
      </c>
      <c r="U63" s="57" t="e">
        <f t="shared" si="29"/>
        <v>#DIV/0!</v>
      </c>
      <c r="V63" s="40">
        <f>IF(AugerModel="Sinton","",IF(SampleType="n-type",n_intr_boltzmann(SampleDoping,0,K63,298.15),n_intr_boltzmann(0,SampleDoping,K63,298.15)))</f>
        <v>8310848067.6308546</v>
      </c>
      <c r="W63" s="40" t="str">
        <f t="shared" si="13"/>
        <v/>
      </c>
      <c r="X63" s="58" t="e">
        <f>IF(AND(A63&gt;TimeofMaxCD,I63&gt;Traps),IF(AugerModel="Sinton",CalcImpliedV(SampleDoping,O63),CalcImpliedVRichter(O63,SampleDoping,V63)),"")</f>
        <v>#DIV/0!</v>
      </c>
      <c r="Y63" s="37" t="e">
        <f t="shared" si="30"/>
        <v>#DIV/0!</v>
      </c>
      <c r="Z63" s="41" t="str">
        <f t="shared" si="31"/>
        <v/>
      </c>
    </row>
    <row r="64" spans="1:26">
      <c r="A64" s="53">
        <v>1.4207900000000001E-2</v>
      </c>
      <c r="B64" s="53">
        <v>-5.5551600000000004E-4</v>
      </c>
      <c r="C64" s="54">
        <v>5.99312E-6</v>
      </c>
      <c r="D64" s="58">
        <f>IF(CouplingMode="AC",B64-(A$11-A$10)*SUM(B$9:B64)/0.21,B64)</f>
        <v>-5.5551600000000004E-4</v>
      </c>
      <c r="E64" s="55">
        <f t="shared" si="19"/>
        <v>5.507812310452106E-4</v>
      </c>
      <c r="F64" s="55">
        <f t="shared" si="20"/>
        <v>5.507812310452106E-4</v>
      </c>
      <c r="G64" s="56">
        <f t="shared" si="21"/>
        <v>91453063332101.125</v>
      </c>
      <c r="H64" s="77">
        <f t="shared" si="22"/>
        <v>-1.801015930517208E-5</v>
      </c>
      <c r="I64" s="56">
        <f t="shared" si="23"/>
        <v>100000</v>
      </c>
      <c r="J64" s="56" t="str">
        <f t="shared" si="24"/>
        <v/>
      </c>
      <c r="K64" s="56">
        <f t="shared" si="25"/>
        <v>100000</v>
      </c>
      <c r="L64" s="51">
        <f t="shared" si="32"/>
        <v>-1000000000000</v>
      </c>
      <c r="M64" s="46" t="str">
        <f t="shared" si="26"/>
        <v/>
      </c>
      <c r="N64" s="46" t="str">
        <f t="shared" si="27"/>
        <v/>
      </c>
      <c r="O64" s="51" t="e">
        <f t="shared" si="28"/>
        <v>#DIV/0!</v>
      </c>
      <c r="P64" s="56">
        <f t="shared" si="33"/>
        <v>5.828126260401718E-11</v>
      </c>
      <c r="Q64" s="51" t="str">
        <f t="shared" si="34"/>
        <v/>
      </c>
      <c r="R64" s="40" t="str">
        <f t="shared" si="35"/>
        <v/>
      </c>
      <c r="S64" s="57">
        <f>IF(AND(E64&gt;0.95*BiasLight,E64&lt;1.05*BiasLight),"",IF(AugerModel="Sinton",calclifetimeauger(Auger_Coefficient,I64,P64),calclifetimerichter(SampleType,I64,SampleDoping,P64)))</f>
        <v>17158173233.03961</v>
      </c>
      <c r="T64" s="295" t="str">
        <f t="shared" si="36"/>
        <v/>
      </c>
      <c r="U64" s="57" t="e">
        <f t="shared" si="29"/>
        <v>#DIV/0!</v>
      </c>
      <c r="V64" s="40">
        <f>IF(AugerModel="Sinton","",IF(SampleType="n-type",n_intr_boltzmann(SampleDoping,0,K64,298.15),n_intr_boltzmann(0,SampleDoping,K64,298.15)))</f>
        <v>8310848067.6308546</v>
      </c>
      <c r="W64" s="40" t="str">
        <f t="shared" si="13"/>
        <v/>
      </c>
      <c r="X64" s="58" t="e">
        <f>IF(AND(A64&gt;TimeofMaxCD,I64&gt;Traps),IF(AugerModel="Sinton",CalcImpliedV(SampleDoping,O64),CalcImpliedVRichter(O64,SampleDoping,V64)),"")</f>
        <v>#DIV/0!</v>
      </c>
      <c r="Y64" s="37" t="e">
        <f t="shared" si="30"/>
        <v>#DIV/0!</v>
      </c>
      <c r="Z64" s="41" t="str">
        <f t="shared" si="31"/>
        <v/>
      </c>
    </row>
    <row r="65" spans="1:26">
      <c r="A65" s="53">
        <v>1.44639E-2</v>
      </c>
      <c r="B65" s="53">
        <v>-3.1633399999999998E-4</v>
      </c>
      <c r="C65" s="54">
        <v>1.22874E-5</v>
      </c>
      <c r="D65" s="58">
        <f>IF(CouplingMode="AC",B65-(A$11-A$10)*SUM(B$9:B65)/0.21,B65)</f>
        <v>-3.1633399999999998E-4</v>
      </c>
      <c r="E65" s="55">
        <f t="shared" si="19"/>
        <v>1.1292397446313305E-3</v>
      </c>
      <c r="F65" s="55">
        <f t="shared" si="20"/>
        <v>1.1292397446313305E-3</v>
      </c>
      <c r="G65" s="56">
        <f t="shared" si="21"/>
        <v>187501730381981.22</v>
      </c>
      <c r="H65" s="77">
        <f t="shared" si="22"/>
        <v>-1.0255756565921703E-5</v>
      </c>
      <c r="I65" s="56">
        <f t="shared" si="23"/>
        <v>100000</v>
      </c>
      <c r="J65" s="56" t="str">
        <f t="shared" si="24"/>
        <v/>
      </c>
      <c r="K65" s="56">
        <f t="shared" si="25"/>
        <v>100000</v>
      </c>
      <c r="L65" s="51">
        <f t="shared" si="32"/>
        <v>-1000000000000</v>
      </c>
      <c r="M65" s="46" t="str">
        <f t="shared" si="26"/>
        <v/>
      </c>
      <c r="N65" s="46" t="str">
        <f t="shared" si="27"/>
        <v/>
      </c>
      <c r="O65" s="51" t="e">
        <f t="shared" si="28"/>
        <v>#DIV/0!</v>
      </c>
      <c r="P65" s="56">
        <f t="shared" si="33"/>
        <v>2.8426404327798187E-11</v>
      </c>
      <c r="Q65" s="51" t="str">
        <f t="shared" si="34"/>
        <v/>
      </c>
      <c r="R65" s="40" t="str">
        <f t="shared" si="35"/>
        <v/>
      </c>
      <c r="S65" s="57">
        <f>IF(AND(E65&gt;0.95*BiasLight,E65&lt;1.05*BiasLight),"",IF(AugerModel="Sinton",calclifetimeauger(Auger_Coefficient,I65,P65),calclifetimerichter(SampleType,I65,SampleDoping,P65)))</f>
        <v>35178561047.276024</v>
      </c>
      <c r="T65" s="295" t="str">
        <f t="shared" si="36"/>
        <v/>
      </c>
      <c r="U65" s="57" t="e">
        <f t="shared" si="29"/>
        <v>#DIV/0!</v>
      </c>
      <c r="V65" s="40">
        <f>IF(AugerModel="Sinton","",IF(SampleType="n-type",n_intr_boltzmann(SampleDoping,0,K65,298.15),n_intr_boltzmann(0,SampleDoping,K65,298.15)))</f>
        <v>8310848067.6308546</v>
      </c>
      <c r="W65" s="40" t="str">
        <f t="shared" si="13"/>
        <v/>
      </c>
      <c r="X65" s="58" t="e">
        <f>IF(AND(A65&gt;TimeofMaxCD,I65&gt;Traps),IF(AugerModel="Sinton",CalcImpliedV(SampleDoping,O65),CalcImpliedVRichter(O65,SampleDoping,V65)),"")</f>
        <v>#DIV/0!</v>
      </c>
      <c r="Y65" s="37" t="e">
        <f t="shared" si="30"/>
        <v>#DIV/0!</v>
      </c>
      <c r="Z65" s="41" t="str">
        <f t="shared" si="31"/>
        <v/>
      </c>
    </row>
    <row r="66" spans="1:26">
      <c r="A66" s="53">
        <v>1.4719899999999999E-2</v>
      </c>
      <c r="B66" s="53">
        <v>-5.1679700000000005E-4</v>
      </c>
      <c r="C66" s="54">
        <v>4.5666E-5</v>
      </c>
      <c r="D66" s="58">
        <f>IF(CouplingMode="AC",B66-(A$11-A$10)*SUM(B$9:B66)/0.21,B66)</f>
        <v>-5.1679700000000005E-4</v>
      </c>
      <c r="E66" s="55">
        <f t="shared" si="19"/>
        <v>4.1968082896572381E-3</v>
      </c>
      <c r="F66" s="55">
        <f t="shared" si="20"/>
        <v>4.1968082896572381E-3</v>
      </c>
      <c r="G66" s="56">
        <f t="shared" si="21"/>
        <v>696848317758317.87</v>
      </c>
      <c r="H66" s="77">
        <f t="shared" si="22"/>
        <v>-1.6754871582744246E-5</v>
      </c>
      <c r="I66" s="56">
        <f t="shared" si="23"/>
        <v>100000</v>
      </c>
      <c r="J66" s="56" t="str">
        <f t="shared" si="24"/>
        <v/>
      </c>
      <c r="K66" s="56">
        <f t="shared" si="25"/>
        <v>100000</v>
      </c>
      <c r="L66" s="51">
        <f t="shared" si="32"/>
        <v>-1000000000000</v>
      </c>
      <c r="M66" s="46" t="str">
        <f t="shared" si="26"/>
        <v/>
      </c>
      <c r="N66" s="46" t="str">
        <f t="shared" si="27"/>
        <v/>
      </c>
      <c r="O66" s="51" t="e">
        <f t="shared" si="28"/>
        <v>#DIV/0!</v>
      </c>
      <c r="P66" s="56">
        <f t="shared" si="33"/>
        <v>7.648723350794627E-12</v>
      </c>
      <c r="Q66" s="51" t="str">
        <f t="shared" si="34"/>
        <v/>
      </c>
      <c r="R66" s="40" t="str">
        <f t="shared" si="35"/>
        <v/>
      </c>
      <c r="S66" s="57">
        <f>IF(AND(E66&gt;0.95*BiasLight,E66&lt;1.05*BiasLight),"",IF(AugerModel="Sinton",calclifetimeauger(Auger_Coefficient,I66,P66),calclifetimerichter(SampleType,I66,SampleDoping,P66)))</f>
        <v>130740772562.53618</v>
      </c>
      <c r="T66" s="295" t="str">
        <f t="shared" si="36"/>
        <v/>
      </c>
      <c r="U66" s="57" t="e">
        <f t="shared" si="29"/>
        <v>#DIV/0!</v>
      </c>
      <c r="V66" s="40">
        <f>IF(AugerModel="Sinton","",IF(SampleType="n-type",n_intr_boltzmann(SampleDoping,0,K66,298.15),n_intr_boltzmann(0,SampleDoping,K66,298.15)))</f>
        <v>8310848067.6308546</v>
      </c>
      <c r="W66" s="40" t="str">
        <f t="shared" si="13"/>
        <v/>
      </c>
      <c r="X66" s="58" t="e">
        <f>IF(AND(A66&gt;TimeofMaxCD,I66&gt;Traps),IF(AugerModel="Sinton",CalcImpliedV(SampleDoping,O66),CalcImpliedVRichter(O66,SampleDoping,V66)),"")</f>
        <v>#DIV/0!</v>
      </c>
      <c r="Y66" s="37" t="e">
        <f t="shared" si="30"/>
        <v>#DIV/0!</v>
      </c>
      <c r="Z66" s="41" t="str">
        <f t="shared" si="31"/>
        <v/>
      </c>
    </row>
    <row r="67" spans="1:26">
      <c r="A67" s="53">
        <v>1.49759E-2</v>
      </c>
      <c r="B67" s="53">
        <v>-3.5162000000000002E-4</v>
      </c>
      <c r="C67" s="54">
        <v>-5.2602400000000003E-6</v>
      </c>
      <c r="D67" s="58">
        <f>IF(CouplingMode="AC",B67-(A$11-A$10)*SUM(B$9:B67)/0.21,B67)</f>
        <v>-3.5162000000000002E-4</v>
      </c>
      <c r="E67" s="55">
        <f t="shared" si="19"/>
        <v>1.0000000000000001E-5</v>
      </c>
      <c r="F67" s="55">
        <f t="shared" si="20"/>
        <v>1.0000000000000001E-5</v>
      </c>
      <c r="G67" s="56">
        <f t="shared" si="21"/>
        <v>1660424469413.2334</v>
      </c>
      <c r="H67" s="77">
        <f t="shared" si="22"/>
        <v>-1.1399748633782181E-5</v>
      </c>
      <c r="I67" s="56">
        <f t="shared" si="23"/>
        <v>100000</v>
      </c>
      <c r="J67" s="56" t="str">
        <f t="shared" si="24"/>
        <v/>
      </c>
      <c r="K67" s="56">
        <f t="shared" si="25"/>
        <v>100000</v>
      </c>
      <c r="L67" s="51">
        <f t="shared" si="32"/>
        <v>-1000000000000</v>
      </c>
      <c r="M67" s="46" t="str">
        <f t="shared" si="26"/>
        <v/>
      </c>
      <c r="N67" s="46" t="str">
        <f t="shared" si="27"/>
        <v/>
      </c>
      <c r="O67" s="51" t="e">
        <f t="shared" si="28"/>
        <v>#DIV/0!</v>
      </c>
      <c r="P67" s="56">
        <f t="shared" si="33"/>
        <v>3.2100225563909774E-9</v>
      </c>
      <c r="Q67" s="51" t="str">
        <f t="shared" si="34"/>
        <v/>
      </c>
      <c r="R67" s="40" t="str">
        <f t="shared" si="35"/>
        <v/>
      </c>
      <c r="S67" s="57">
        <f>IF(AND(E67&gt;0.95*BiasLight,E67&lt;1.05*BiasLight),"",IF(AugerModel="Sinton",calclifetimeauger(Auger_Coefficient,I67,P67),calclifetimerichter(SampleType,I67,SampleDoping,P67)))</f>
        <v>311524290.69666672</v>
      </c>
      <c r="T67" s="295" t="str">
        <f t="shared" si="36"/>
        <v/>
      </c>
      <c r="U67" s="57" t="e">
        <f t="shared" si="29"/>
        <v>#DIV/0!</v>
      </c>
      <c r="V67" s="40">
        <f>IF(AugerModel="Sinton","",IF(SampleType="n-type",n_intr_boltzmann(SampleDoping,0,K67,298.15),n_intr_boltzmann(0,SampleDoping,K67,298.15)))</f>
        <v>8310848067.6308546</v>
      </c>
      <c r="W67" s="40" t="str">
        <f t="shared" si="13"/>
        <v/>
      </c>
      <c r="X67" s="58" t="e">
        <f>IF(AND(A67&gt;TimeofMaxCD,I67&gt;Traps),IF(AugerModel="Sinton",CalcImpliedV(SampleDoping,O67),CalcImpliedVRichter(O67,SampleDoping,V67)),"")</f>
        <v>#DIV/0!</v>
      </c>
      <c r="Y67" s="37" t="e">
        <f t="shared" si="30"/>
        <v>#DIV/0!</v>
      </c>
      <c r="Z67" s="41" t="str">
        <f t="shared" si="31"/>
        <v/>
      </c>
    </row>
    <row r="68" spans="1:26">
      <c r="A68" s="53">
        <v>1.52319E-2</v>
      </c>
      <c r="B68" s="53">
        <v>-3.4914100000000002E-4</v>
      </c>
      <c r="C68" s="54">
        <v>2.7164700000000001E-5</v>
      </c>
      <c r="D68" s="58">
        <f>IF(CouplingMode="AC",B68-(A$11-A$10)*SUM(B$9:B68)/0.21,B68)</f>
        <v>-3.4914100000000002E-4</v>
      </c>
      <c r="E68" s="55">
        <f t="shared" si="19"/>
        <v>2.4964971345432484E-3</v>
      </c>
      <c r="F68" s="55">
        <f t="shared" si="20"/>
        <v>2.4964971345432484E-3</v>
      </c>
      <c r="G68" s="56">
        <f t="shared" si="21"/>
        <v>414524493001563.06</v>
      </c>
      <c r="H68" s="77">
        <f t="shared" si="22"/>
        <v>-1.1319378073901265E-5</v>
      </c>
      <c r="I68" s="56">
        <f t="shared" si="23"/>
        <v>100000</v>
      </c>
      <c r="J68" s="56" t="str">
        <f t="shared" si="24"/>
        <v/>
      </c>
      <c r="K68" s="56">
        <f t="shared" si="25"/>
        <v>100000</v>
      </c>
      <c r="L68" s="51">
        <f t="shared" si="32"/>
        <v>-1000000000000</v>
      </c>
      <c r="M68" s="46" t="str">
        <f t="shared" si="26"/>
        <v/>
      </c>
      <c r="N68" s="46" t="str">
        <f t="shared" si="27"/>
        <v/>
      </c>
      <c r="O68" s="51" t="e">
        <f t="shared" si="28"/>
        <v>#DIV/0!</v>
      </c>
      <c r="P68" s="56">
        <f t="shared" si="33"/>
        <v>1.2858106312139924E-11</v>
      </c>
      <c r="Q68" s="51" t="str">
        <f t="shared" si="34"/>
        <v/>
      </c>
      <c r="R68" s="40" t="str">
        <f t="shared" si="35"/>
        <v/>
      </c>
      <c r="S68" s="57">
        <f>IF(AND(E68&gt;0.95*BiasLight,E68&lt;1.05*BiasLight),"",IF(AugerModel="Sinton",calclifetimeauger(Auger_Coefficient,I68,P68),calclifetimerichter(SampleType,I68,SampleDoping,P68)))</f>
        <v>77771949906.484634</v>
      </c>
      <c r="T68" s="295" t="str">
        <f t="shared" si="36"/>
        <v/>
      </c>
      <c r="U68" s="57" t="e">
        <f t="shared" si="29"/>
        <v>#DIV/0!</v>
      </c>
      <c r="V68" s="40">
        <f>IF(AugerModel="Sinton","",IF(SampleType="n-type",n_intr_boltzmann(SampleDoping,0,K68,298.15),n_intr_boltzmann(0,SampleDoping,K68,298.15)))</f>
        <v>8310848067.6308546</v>
      </c>
      <c r="W68" s="40" t="str">
        <f t="shared" si="13"/>
        <v/>
      </c>
      <c r="X68" s="58" t="e">
        <f>IF(AND(A68&gt;TimeofMaxCD,I68&gt;Traps),IF(AugerModel="Sinton",CalcImpliedV(SampleDoping,O68),CalcImpliedVRichter(O68,SampleDoping,V68)),"")</f>
        <v>#DIV/0!</v>
      </c>
      <c r="Y68" s="37" t="e">
        <f t="shared" si="30"/>
        <v>#DIV/0!</v>
      </c>
      <c r="Z68" s="41" t="str">
        <f t="shared" si="31"/>
        <v/>
      </c>
    </row>
    <row r="69" spans="1:26">
      <c r="A69" s="53">
        <v>1.5487900000000001E-2</v>
      </c>
      <c r="B69" s="53">
        <v>-3.7355500000000002E-4</v>
      </c>
      <c r="C69" s="54">
        <v>1.4576199999999999E-5</v>
      </c>
      <c r="D69" s="58">
        <f>IF(CouplingMode="AC",B69-(A$11-A$10)*SUM(B$9:B69)/0.21,B69)</f>
        <v>-3.7355500000000002E-4</v>
      </c>
      <c r="E69" s="55">
        <f t="shared" si="19"/>
        <v>1.3395856215061934E-3</v>
      </c>
      <c r="F69" s="55">
        <f t="shared" si="20"/>
        <v>1.3395856215061934E-3</v>
      </c>
      <c r="G69" s="56">
        <f t="shared" si="21"/>
        <v>222428074482301.75</v>
      </c>
      <c r="H69" s="77">
        <f t="shared" si="22"/>
        <v>-1.211089340167476E-5</v>
      </c>
      <c r="I69" s="56">
        <f t="shared" si="23"/>
        <v>100000</v>
      </c>
      <c r="J69" s="56" t="str">
        <f t="shared" si="24"/>
        <v/>
      </c>
      <c r="K69" s="56">
        <f t="shared" si="25"/>
        <v>100000</v>
      </c>
      <c r="L69" s="51">
        <f t="shared" si="32"/>
        <v>-1000000000000</v>
      </c>
      <c r="M69" s="46" t="str">
        <f t="shared" si="26"/>
        <v/>
      </c>
      <c r="N69" s="46" t="str">
        <f t="shared" si="27"/>
        <v/>
      </c>
      <c r="O69" s="51" t="e">
        <f t="shared" si="28"/>
        <v>#DIV/0!</v>
      </c>
      <c r="P69" s="56">
        <f t="shared" si="33"/>
        <v>2.3962802413344184E-11</v>
      </c>
      <c r="Q69" s="51" t="str">
        <f t="shared" si="34"/>
        <v/>
      </c>
      <c r="R69" s="40" t="str">
        <f t="shared" si="35"/>
        <v/>
      </c>
      <c r="S69" s="57">
        <f>IF(AND(E69&gt;0.95*BiasLight,E69&lt;1.05*BiasLight),"",IF(AugerModel="Sinton",calclifetimeauger(Auger_Coefficient,I69,P69),calclifetimerichter(SampleType,I69,SampleDoping,P69)))</f>
        <v>41731346056.717026</v>
      </c>
      <c r="T69" s="295" t="str">
        <f t="shared" si="36"/>
        <v/>
      </c>
      <c r="U69" s="57" t="e">
        <f t="shared" si="29"/>
        <v>#DIV/0!</v>
      </c>
      <c r="V69" s="40">
        <f>IF(AugerModel="Sinton","",IF(SampleType="n-type",n_intr_boltzmann(SampleDoping,0,K69,298.15),n_intr_boltzmann(0,SampleDoping,K69,298.15)))</f>
        <v>8310848067.6308546</v>
      </c>
      <c r="W69" s="40" t="str">
        <f t="shared" si="13"/>
        <v/>
      </c>
      <c r="X69" s="58" t="e">
        <f>IF(AND(A69&gt;TimeofMaxCD,I69&gt;Traps),IF(AugerModel="Sinton",CalcImpliedV(SampleDoping,O69),CalcImpliedVRichter(O69,SampleDoping,V69)),"")</f>
        <v>#DIV/0!</v>
      </c>
      <c r="Y69" s="37" t="e">
        <f t="shared" si="30"/>
        <v>#DIV/0!</v>
      </c>
      <c r="Z69" s="41" t="str">
        <f t="shared" si="31"/>
        <v/>
      </c>
    </row>
    <row r="70" spans="1:26">
      <c r="A70" s="53">
        <v>1.5743900000000002E-2</v>
      </c>
      <c r="B70" s="53">
        <v>-4.4336400000000002E-4</v>
      </c>
      <c r="C70" s="54">
        <v>8.2819299999999998E-6</v>
      </c>
      <c r="D70" s="58">
        <f>IF(CouplingMode="AC",B70-(A$11-A$10)*SUM(B$9:B70)/0.21,B70)</f>
        <v>-4.4336400000000002E-4</v>
      </c>
      <c r="E70" s="55">
        <f t="shared" si="19"/>
        <v>7.6112802694260431E-4</v>
      </c>
      <c r="F70" s="55">
        <f t="shared" si="20"/>
        <v>7.6112802694260431E-4</v>
      </c>
      <c r="G70" s="56">
        <f t="shared" si="21"/>
        <v>126379560029171.5</v>
      </c>
      <c r="H70" s="77">
        <f t="shared" si="22"/>
        <v>-1.4374137892132766E-5</v>
      </c>
      <c r="I70" s="56">
        <f t="shared" si="23"/>
        <v>100000</v>
      </c>
      <c r="J70" s="56" t="str">
        <f t="shared" si="24"/>
        <v/>
      </c>
      <c r="K70" s="56">
        <f t="shared" si="25"/>
        <v>100000</v>
      </c>
      <c r="L70" s="51">
        <f t="shared" si="32"/>
        <v>-1000000000000</v>
      </c>
      <c r="M70" s="46" t="str">
        <f t="shared" si="26"/>
        <v/>
      </c>
      <c r="N70" s="46" t="str">
        <f t="shared" si="27"/>
        <v/>
      </c>
      <c r="O70" s="51" t="e">
        <f t="shared" si="28"/>
        <v>#DIV/0!</v>
      </c>
      <c r="P70" s="56">
        <f t="shared" si="33"/>
        <v>4.217454150631404E-11</v>
      </c>
      <c r="Q70" s="51" t="str">
        <f t="shared" si="34"/>
        <v/>
      </c>
      <c r="R70" s="40" t="str">
        <f t="shared" si="35"/>
        <v/>
      </c>
      <c r="S70" s="57">
        <f>IF(AND(E70&gt;0.95*BiasLight,E70&lt;1.05*BiasLight),"",IF(AugerModel="Sinton",calclifetimeauger(Auger_Coefficient,I70,P70),calclifetimerichter(SampleType,I70,SampleDoping,P70)))</f>
        <v>23710986872.26482</v>
      </c>
      <c r="T70" s="295" t="str">
        <f t="shared" si="36"/>
        <v/>
      </c>
      <c r="U70" s="57" t="e">
        <f t="shared" si="29"/>
        <v>#DIV/0!</v>
      </c>
      <c r="V70" s="40">
        <f>IF(AugerModel="Sinton","",IF(SampleType="n-type",n_intr_boltzmann(SampleDoping,0,K70,298.15),n_intr_boltzmann(0,SampleDoping,K70,298.15)))</f>
        <v>8310848067.6308546</v>
      </c>
      <c r="W70" s="40" t="str">
        <f t="shared" si="13"/>
        <v/>
      </c>
      <c r="X70" s="58" t="e">
        <f>IF(AND(A70&gt;TimeofMaxCD,I70&gt;Traps),IF(AugerModel="Sinton",CalcImpliedV(SampleDoping,O70),CalcImpliedVRichter(O70,SampleDoping,V70)),"")</f>
        <v>#DIV/0!</v>
      </c>
      <c r="Y70" s="37" t="e">
        <f t="shared" si="30"/>
        <v>#DIV/0!</v>
      </c>
      <c r="Z70" s="41" t="str">
        <f t="shared" si="31"/>
        <v/>
      </c>
    </row>
    <row r="71" spans="1:26">
      <c r="A71" s="53">
        <v>1.5999900000000001E-2</v>
      </c>
      <c r="B71" s="53">
        <v>-3.0279200000000002E-4</v>
      </c>
      <c r="C71" s="54">
        <v>2.6401700000000002E-5</v>
      </c>
      <c r="D71" s="58">
        <f>IF(CouplingMode="AC",B71-(A$11-A$10)*SUM(B$9:B71)/0.21,B71)</f>
        <v>-3.0279200000000002E-4</v>
      </c>
      <c r="E71" s="55">
        <f t="shared" si="19"/>
        <v>2.4263757154347546E-3</v>
      </c>
      <c r="F71" s="55">
        <f t="shared" si="20"/>
        <v>2.4263757154347546E-3</v>
      </c>
      <c r="G71" s="56">
        <f t="shared" si="21"/>
        <v>402881360989790.62</v>
      </c>
      <c r="H71" s="77">
        <f t="shared" si="22"/>
        <v>-9.8167170952609406E-6</v>
      </c>
      <c r="I71" s="56">
        <f t="shared" si="23"/>
        <v>100000</v>
      </c>
      <c r="J71" s="56" t="str">
        <f t="shared" si="24"/>
        <v/>
      </c>
      <c r="K71" s="56">
        <f t="shared" si="25"/>
        <v>100000</v>
      </c>
      <c r="L71" s="51">
        <f t="shared" si="32"/>
        <v>-1000000000000</v>
      </c>
      <c r="M71" s="46" t="str">
        <f t="shared" si="26"/>
        <v/>
      </c>
      <c r="N71" s="46" t="str">
        <f t="shared" si="27"/>
        <v/>
      </c>
      <c r="O71" s="51" t="e">
        <f t="shared" si="28"/>
        <v>#DIV/0!</v>
      </c>
      <c r="P71" s="56">
        <f t="shared" si="33"/>
        <v>1.322970113808533E-11</v>
      </c>
      <c r="Q71" s="51" t="str">
        <f t="shared" si="34"/>
        <v/>
      </c>
      <c r="R71" s="40" t="str">
        <f t="shared" si="35"/>
        <v/>
      </c>
      <c r="S71" s="57">
        <f>IF(AND(E71&gt;0.95*BiasLight,E71&lt;1.05*BiasLight),"",IF(AugerModel="Sinton",calclifetimeauger(Auger_Coefficient,I71,P71),calclifetimerichter(SampleType,I71,SampleDoping,P71)))</f>
        <v>75587497371.442902</v>
      </c>
      <c r="T71" s="295" t="str">
        <f t="shared" si="36"/>
        <v/>
      </c>
      <c r="U71" s="57" t="e">
        <f t="shared" si="29"/>
        <v>#DIV/0!</v>
      </c>
      <c r="V71" s="40">
        <f>IF(AugerModel="Sinton","",IF(SampleType="n-type",n_intr_boltzmann(SampleDoping,0,K71,298.15),n_intr_boltzmann(0,SampleDoping,K71,298.15)))</f>
        <v>8310848067.6308546</v>
      </c>
      <c r="W71" s="40" t="str">
        <f t="shared" si="13"/>
        <v/>
      </c>
      <c r="X71" s="58" t="e">
        <f>IF(AND(A71&gt;TimeofMaxCD,I71&gt;Traps),IF(AugerModel="Sinton",CalcImpliedV(SampleDoping,O71),CalcImpliedVRichter(O71,SampleDoping,V71)),"")</f>
        <v>#DIV/0!</v>
      </c>
      <c r="Y71" s="37" t="e">
        <f t="shared" si="30"/>
        <v>#DIV/0!</v>
      </c>
      <c r="Z71" s="41" t="str">
        <f t="shared" si="31"/>
        <v/>
      </c>
    </row>
    <row r="72" spans="1:26">
      <c r="A72" s="53">
        <v>1.62559E-2</v>
      </c>
      <c r="B72" s="53">
        <v>-5.6409899999999998E-4</v>
      </c>
      <c r="C72" s="54">
        <v>-7.9305300000000001E-6</v>
      </c>
      <c r="D72" s="58">
        <f>IF(CouplingMode="AC",B72-(A$11-A$10)*SUM(B$9:B72)/0.21,B72)</f>
        <v>-5.6409899999999998E-4</v>
      </c>
      <c r="E72" s="55">
        <f t="shared" si="19"/>
        <v>1.0000000000000001E-5</v>
      </c>
      <c r="F72" s="55">
        <f t="shared" si="20"/>
        <v>1.0000000000000001E-5</v>
      </c>
      <c r="G72" s="56">
        <f t="shared" si="21"/>
        <v>1660424469413.2334</v>
      </c>
      <c r="H72" s="77">
        <f t="shared" si="22"/>
        <v>-1.828842399068803E-5</v>
      </c>
      <c r="I72" s="56">
        <f t="shared" si="23"/>
        <v>100000</v>
      </c>
      <c r="J72" s="56" t="str">
        <f t="shared" si="24"/>
        <v/>
      </c>
      <c r="K72" s="56">
        <f t="shared" si="25"/>
        <v>100000</v>
      </c>
      <c r="L72" s="51">
        <f t="shared" si="32"/>
        <v>-1000000000000</v>
      </c>
      <c r="M72" s="46" t="str">
        <f t="shared" si="26"/>
        <v/>
      </c>
      <c r="N72" s="46" t="str">
        <f t="shared" si="27"/>
        <v/>
      </c>
      <c r="O72" s="51" t="e">
        <f t="shared" si="28"/>
        <v>#DIV/0!</v>
      </c>
      <c r="P72" s="56">
        <f t="shared" si="33"/>
        <v>3.2100225563909774E-9</v>
      </c>
      <c r="Q72" s="51" t="str">
        <f t="shared" si="34"/>
        <v/>
      </c>
      <c r="R72" s="40" t="str">
        <f t="shared" si="35"/>
        <v/>
      </c>
      <c r="S72" s="57">
        <f>IF(AND(E72&gt;0.95*BiasLight,E72&lt;1.05*BiasLight),"",IF(AugerModel="Sinton",calclifetimeauger(Auger_Coefficient,I72,P72),calclifetimerichter(SampleType,I72,SampleDoping,P72)))</f>
        <v>311524290.69666672</v>
      </c>
      <c r="T72" s="295" t="str">
        <f t="shared" si="36"/>
        <v/>
      </c>
      <c r="U72" s="57" t="e">
        <f t="shared" si="29"/>
        <v>#DIV/0!</v>
      </c>
      <c r="V72" s="40">
        <f>IF(AugerModel="Sinton","",IF(SampleType="n-type",n_intr_boltzmann(SampleDoping,0,K72,298.15),n_intr_boltzmann(0,SampleDoping,K72,298.15)))</f>
        <v>8310848067.6308546</v>
      </c>
      <c r="W72" s="40" t="str">
        <f t="shared" si="13"/>
        <v/>
      </c>
      <c r="X72" s="58" t="e">
        <f>IF(AND(A72&gt;TimeofMaxCD,I72&gt;Traps),IF(AugerModel="Sinton",CalcImpliedV(SampleDoping,O72),CalcImpliedVRichter(O72,SampleDoping,V72)),"")</f>
        <v>#DIV/0!</v>
      </c>
      <c r="Y72" s="37" t="e">
        <f t="shared" si="30"/>
        <v>#DIV/0!</v>
      </c>
      <c r="Z72" s="41" t="str">
        <f t="shared" si="31"/>
        <v/>
      </c>
    </row>
    <row r="73" spans="1:26">
      <c r="A73" s="53">
        <v>1.6511899999999999E-2</v>
      </c>
      <c r="B73" s="53">
        <v>-5.5093799999999995E-4</v>
      </c>
      <c r="C73" s="54">
        <v>1.3431800000000001E-5</v>
      </c>
      <c r="D73" s="58">
        <f>IF(CouplingMode="AC",B73-(A$11-A$10)*SUM(B$9:B73)/0.21,B73)</f>
        <v>-5.5093799999999995E-4</v>
      </c>
      <c r="E73" s="55">
        <f t="shared" ref="E73:E104" si="37">IF(C73&gt;0,C73/RefCellCal,0.00001)</f>
        <v>1.2344126830687622E-3</v>
      </c>
      <c r="F73" s="55">
        <f t="shared" ref="F73:F104" si="38">E73-BiasLight</f>
        <v>1.2344126830687622E-3</v>
      </c>
      <c r="G73" s="56">
        <f t="shared" ref="G73:G104" si="39">F73*0.038*OptConst/1.602E-19</f>
        <v>204964902432141.5</v>
      </c>
      <c r="H73" s="77">
        <f t="shared" ref="H73:H104" si="40">CalcConductance(B73,Dark_Voltage,A_cal,B_cal,C_cal)</f>
        <v>-1.7861738488757217E-5</v>
      </c>
      <c r="I73" s="56">
        <f t="shared" ref="I73:I104" si="41">CalcDeltaN(H73,SampleDoping,Thickness,AreaFrac)</f>
        <v>100000</v>
      </c>
      <c r="J73" s="56" t="str">
        <f t="shared" ref="J73:J104" si="42">IF(AND(AND(I73&gt;=FitRangeMin,I73&lt;=FitRangeMax),A73&gt;TimeofMaxCD),I73,"")</f>
        <v/>
      </c>
      <c r="K73" s="56">
        <f t="shared" ref="K73:K104" si="43">IF(I73-BiasPtCD&lt;0,0.00001,I73-BiasPtCD)</f>
        <v>100000</v>
      </c>
      <c r="L73" s="51">
        <f t="shared" si="32"/>
        <v>-1000000000000</v>
      </c>
      <c r="M73" s="46" t="str">
        <f t="shared" ref="M73:M104" si="44">IF(E73&gt;0.85*BiasLight,IF( E73&lt;1.15*BiasLight,E73,""),"")</f>
        <v/>
      </c>
      <c r="N73" s="46" t="str">
        <f t="shared" ref="N73:N104" si="45">IF(E73&gt;0.85*BiasLight,IF(E73&lt;1.15*BiasLight,I73,""),"")</f>
        <v/>
      </c>
      <c r="O73" s="51" t="e">
        <f t="shared" ref="O73:O104" si="46">I73-Traps</f>
        <v>#DIV/0!</v>
      </c>
      <c r="P73" s="56">
        <f t="shared" si="33"/>
        <v>2.6004452161094376E-11</v>
      </c>
      <c r="Q73" s="51" t="str">
        <f t="shared" si="34"/>
        <v/>
      </c>
      <c r="R73" s="40" t="str">
        <f t="shared" si="35"/>
        <v/>
      </c>
      <c r="S73" s="57">
        <f>IF(AND(E73&gt;0.95*BiasLight,E73&lt;1.05*BiasLight),"",IF(AugerModel="Sinton",calclifetimeauger(Auger_Coefficient,I73,P73),calclifetimerichter(SampleType,I73,SampleDoping,P73)))</f>
        <v>38454953551.996529</v>
      </c>
      <c r="T73" s="295" t="str">
        <f t="shared" si="36"/>
        <v/>
      </c>
      <c r="U73" s="57" t="e">
        <f t="shared" ref="U73:U104" si="47">FitInterceptAuger+FitSlopeAuger*(I73+Traps)</f>
        <v>#DIV/0!</v>
      </c>
      <c r="V73" s="40">
        <f>IF(AugerModel="Sinton","",IF(SampleType="n-type",n_intr_boltzmann(SampleDoping,0,K73,298.15),n_intr_boltzmann(0,SampleDoping,K73,298.15)))</f>
        <v>8310848067.6308546</v>
      </c>
      <c r="W73" s="40" t="str">
        <f t="shared" si="13"/>
        <v/>
      </c>
      <c r="X73" s="58" t="e">
        <f>IF(AND(A73&gt;TimeofMaxCD,I73&gt;Traps),IF(AugerModel="Sinton",CalcImpliedV(SampleDoping,O73),CalcImpliedVRichter(O73,SampleDoping,V73)),"")</f>
        <v>#DIV/0!</v>
      </c>
      <c r="Y73" s="37" t="e">
        <f t="shared" ref="Y73:Y104" si="48">IF(OR(P73="",P73&lt;0,A73&lt;=TimeofMaxCD),"",(O73*Thickness*1.602E-19/(0.038*OptConst*P73)))</f>
        <v>#DIV/0!</v>
      </c>
      <c r="Z73" s="41" t="str">
        <f t="shared" ref="Z73:Z104" si="49">IF(C73&gt;0.6,O73,"")</f>
        <v/>
      </c>
    </row>
    <row r="74" spans="1:26">
      <c r="A74" s="53">
        <v>1.6767899999999999E-2</v>
      </c>
      <c r="B74" s="53">
        <v>-2.19822E-4</v>
      </c>
      <c r="C74" s="54">
        <v>4.6579699999999997E-6</v>
      </c>
      <c r="D74" s="58">
        <f>IF(CouplingMode="AC",B74-(A$11-A$10)*SUM(B$9:B74)/0.21,B74)</f>
        <v>-2.19822E-4</v>
      </c>
      <c r="E74" s="55">
        <f t="shared" si="37"/>
        <v>4.2807793783065571E-4</v>
      </c>
      <c r="F74" s="55">
        <f t="shared" si="38"/>
        <v>4.2807793783065571E-4</v>
      </c>
      <c r="G74" s="56">
        <f t="shared" si="39"/>
        <v>71079108278997.766</v>
      </c>
      <c r="H74" s="77">
        <f t="shared" si="40"/>
        <v>-7.1267795972371206E-6</v>
      </c>
      <c r="I74" s="56">
        <f t="shared" si="41"/>
        <v>100000</v>
      </c>
      <c r="J74" s="56" t="str">
        <f t="shared" si="42"/>
        <v/>
      </c>
      <c r="K74" s="56">
        <f t="shared" si="43"/>
        <v>100000</v>
      </c>
      <c r="L74" s="51">
        <f t="shared" si="32"/>
        <v>-1000000000000</v>
      </c>
      <c r="M74" s="46" t="str">
        <f t="shared" si="44"/>
        <v/>
      </c>
      <c r="N74" s="46" t="str">
        <f t="shared" si="45"/>
        <v/>
      </c>
      <c r="O74" s="51" t="e">
        <f t="shared" si="46"/>
        <v>#DIV/0!</v>
      </c>
      <c r="P74" s="56">
        <f t="shared" si="33"/>
        <v>7.4986872078907209E-11</v>
      </c>
      <c r="Q74" s="51" t="str">
        <f t="shared" si="34"/>
        <v/>
      </c>
      <c r="R74" s="40" t="str">
        <f t="shared" si="35"/>
        <v/>
      </c>
      <c r="S74" s="57">
        <f>IF(AND(E74&gt;0.95*BiasLight,E74&lt;1.05*BiasLight),"",IF(AugerModel="Sinton",calclifetimeauger(Auger_Coefficient,I74,P74),calclifetimerichter(SampleType,I74,SampleDoping,P74)))</f>
        <v>13335667594.558681</v>
      </c>
      <c r="T74" s="295" t="str">
        <f t="shared" si="36"/>
        <v/>
      </c>
      <c r="U74" s="57" t="e">
        <f t="shared" si="47"/>
        <v>#DIV/0!</v>
      </c>
      <c r="V74" s="40">
        <f>IF(AugerModel="Sinton","",IF(SampleType="n-type",n_intr_boltzmann(SampleDoping,0,K74,298.15),n_intr_boltzmann(0,SampleDoping,K74,298.15)))</f>
        <v>8310848067.6308546</v>
      </c>
      <c r="W74" s="40" t="str">
        <f t="shared" ref="W74:W134" si="50">IF(V74="","",IF(T74="","",V74^2*S74))</f>
        <v/>
      </c>
      <c r="X74" s="58" t="e">
        <f>IF(AND(A74&gt;TimeofMaxCD,I74&gt;Traps),IF(AugerModel="Sinton",CalcImpliedV(SampleDoping,O74),CalcImpliedVRichter(O74,SampleDoping,V74)),"")</f>
        <v>#DIV/0!</v>
      </c>
      <c r="Y74" s="37" t="e">
        <f t="shared" si="48"/>
        <v>#DIV/0!</v>
      </c>
      <c r="Z74" s="41" t="str">
        <f t="shared" si="49"/>
        <v/>
      </c>
    </row>
    <row r="75" spans="1:26">
      <c r="A75" s="53">
        <v>1.7023900000000002E-2</v>
      </c>
      <c r="B75" s="53">
        <v>-4.32683E-4</v>
      </c>
      <c r="C75" s="54">
        <v>1.43854E-5</v>
      </c>
      <c r="D75" s="58">
        <f>IF(CouplingMode="AC",B75-(A$11-A$10)*SUM(B$9:B75)/0.21,B75)</f>
        <v>-4.32683E-4</v>
      </c>
      <c r="E75" s="55">
        <f t="shared" si="37"/>
        <v>1.3220506716164154E-3</v>
      </c>
      <c r="F75" s="55">
        <f t="shared" si="38"/>
        <v>1.3220506716164154E-3</v>
      </c>
      <c r="G75" s="56">
        <f t="shared" si="39"/>
        <v>219516528495609.5</v>
      </c>
      <c r="H75" s="77">
        <f t="shared" si="40"/>
        <v>-1.402785442256721E-5</v>
      </c>
      <c r="I75" s="56">
        <f t="shared" si="41"/>
        <v>100000</v>
      </c>
      <c r="J75" s="56" t="str">
        <f t="shared" si="42"/>
        <v/>
      </c>
      <c r="K75" s="56">
        <f t="shared" si="43"/>
        <v>100000</v>
      </c>
      <c r="L75" s="51">
        <f t="shared" ref="L75:L106" si="51">IF(ABS(SLOPE(K73:K77,A73:A77))&lt;1000000000000,-1000000000000,(SLOPE(K73:K77,A73:A77)))</f>
        <v>-1000000000000</v>
      </c>
      <c r="M75" s="46" t="str">
        <f t="shared" si="44"/>
        <v/>
      </c>
      <c r="N75" s="46" t="str">
        <f t="shared" si="45"/>
        <v/>
      </c>
      <c r="O75" s="51" t="e">
        <f t="shared" si="46"/>
        <v>#DIV/0!</v>
      </c>
      <c r="P75" s="56">
        <f t="shared" ref="P75:P106" si="52">calclifetime(AnalysisMode,K75,Thickness,G75,L75)</f>
        <v>2.428063178899353E-11</v>
      </c>
      <c r="Q75" s="51" t="str">
        <f t="shared" si="34"/>
        <v/>
      </c>
      <c r="R75" s="40" t="str">
        <f t="shared" si="35"/>
        <v/>
      </c>
      <c r="S75" s="57">
        <f>IF(AND(E75&gt;0.95*BiasLight,E75&lt;1.05*BiasLight),"",IF(AugerModel="Sinton",calclifetimeauger(Auger_Coefficient,I75,P75),calclifetimerichter(SampleType,I75,SampleDoping,P75)))</f>
        <v>41185089774.035553</v>
      </c>
      <c r="T75" s="295" t="str">
        <f t="shared" si="36"/>
        <v/>
      </c>
      <c r="U75" s="57" t="e">
        <f t="shared" si="47"/>
        <v>#DIV/0!</v>
      </c>
      <c r="V75" s="40">
        <f>IF(AugerModel="Sinton","",IF(SampleType="n-type",n_intr_boltzmann(SampleDoping,0,K75,298.15),n_intr_boltzmann(0,SampleDoping,K75,298.15)))</f>
        <v>8310848067.6308546</v>
      </c>
      <c r="W75" s="40" t="str">
        <f t="shared" si="50"/>
        <v/>
      </c>
      <c r="X75" s="58" t="e">
        <f>IF(AND(A75&gt;TimeofMaxCD,I75&gt;Traps),IF(AugerModel="Sinton",CalcImpliedV(SampleDoping,O75),CalcImpliedVRichter(O75,SampleDoping,V75)),"")</f>
        <v>#DIV/0!</v>
      </c>
      <c r="Y75" s="37" t="e">
        <f t="shared" si="48"/>
        <v>#DIV/0!</v>
      </c>
      <c r="Z75" s="41" t="str">
        <f t="shared" si="49"/>
        <v/>
      </c>
    </row>
    <row r="76" spans="1:26">
      <c r="A76" s="53">
        <v>1.7279900000000001E-2</v>
      </c>
      <c r="B76" s="53">
        <v>-3.24154E-4</v>
      </c>
      <c r="C76" s="54">
        <v>3.40311E-5</v>
      </c>
      <c r="D76" s="58">
        <f>IF(CouplingMode="AC",B76-(A$11-A$10)*SUM(B$9:B76)/0.21,B76)</f>
        <v>-3.24154E-4</v>
      </c>
      <c r="E76" s="55">
        <f t="shared" si="37"/>
        <v>3.1275347651678366E-3</v>
      </c>
      <c r="F76" s="55">
        <f t="shared" si="38"/>
        <v>3.1275347651678366E-3</v>
      </c>
      <c r="G76" s="56">
        <f t="shared" si="39"/>
        <v>519303525302524.62</v>
      </c>
      <c r="H76" s="77">
        <f t="shared" si="40"/>
        <v>-1.0509285443605076E-5</v>
      </c>
      <c r="I76" s="56">
        <f t="shared" si="41"/>
        <v>100000</v>
      </c>
      <c r="J76" s="56" t="str">
        <f t="shared" si="42"/>
        <v/>
      </c>
      <c r="K76" s="56">
        <f t="shared" si="43"/>
        <v>100000</v>
      </c>
      <c r="L76" s="51">
        <f t="shared" si="51"/>
        <v>-1000000000000</v>
      </c>
      <c r="M76" s="46" t="str">
        <f t="shared" si="44"/>
        <v/>
      </c>
      <c r="N76" s="46" t="str">
        <f t="shared" si="45"/>
        <v/>
      </c>
      <c r="O76" s="51" t="e">
        <f t="shared" si="46"/>
        <v>#DIV/0!</v>
      </c>
      <c r="P76" s="56">
        <f t="shared" si="52"/>
        <v>1.0263747000167126E-11</v>
      </c>
      <c r="Q76" s="51" t="str">
        <f t="shared" ref="Q76:Q107" si="53">IF($J76="","",P76)</f>
        <v/>
      </c>
      <c r="R76" s="40" t="str">
        <f t="shared" ref="R76" si="54">IF(Q76="","",1/Q76)</f>
        <v/>
      </c>
      <c r="S76" s="57">
        <f>IF(AND(E76&gt;0.95*BiasLight,E76&lt;1.05*BiasLight),"",IF(AugerModel="Sinton",calclifetimeauger(Auger_Coefficient,I76,P76),calclifetimerichter(SampleType,I76,SampleDoping,P76)))</f>
        <v>97430304934.807617</v>
      </c>
      <c r="T76" s="295" t="str">
        <f t="shared" ref="T76:T107" si="55">IF($J76="","",S76)</f>
        <v/>
      </c>
      <c r="U76" s="57" t="e">
        <f t="shared" si="47"/>
        <v>#DIV/0!</v>
      </c>
      <c r="V76" s="40">
        <f>IF(AugerModel="Sinton","",IF(SampleType="n-type",n_intr_boltzmann(SampleDoping,0,K76,298.15),n_intr_boltzmann(0,SampleDoping,K76,298.15)))</f>
        <v>8310848067.6308546</v>
      </c>
      <c r="W76" s="40" t="str">
        <f t="shared" si="50"/>
        <v/>
      </c>
      <c r="X76" s="58" t="e">
        <f>IF(AND(A76&gt;TimeofMaxCD,I76&gt;Traps),IF(AugerModel="Sinton",CalcImpliedV(SampleDoping,O76),CalcImpliedVRichter(O76,SampleDoping,V76)),"")</f>
        <v>#DIV/0!</v>
      </c>
      <c r="Y76" s="37" t="e">
        <f t="shared" si="48"/>
        <v>#DIV/0!</v>
      </c>
      <c r="Z76" s="41" t="str">
        <f t="shared" si="49"/>
        <v/>
      </c>
    </row>
    <row r="77" spans="1:26">
      <c r="A77" s="53">
        <v>1.75359E-2</v>
      </c>
      <c r="B77" s="53">
        <v>-2.5167499999999998E-4</v>
      </c>
      <c r="C77" s="54">
        <v>3.1320900000000002E-6</v>
      </c>
      <c r="D77" s="58">
        <f>IF(CouplingMode="AC",B77-(A$11-A$10)*SUM(B$9:B77)/0.21,B77)</f>
        <v>-2.5167499999999998E-4</v>
      </c>
      <c r="E77" s="55">
        <f t="shared" si="37"/>
        <v>2.8784612788403932E-4</v>
      </c>
      <c r="F77" s="55">
        <f t="shared" si="38"/>
        <v>2.8784612788403932E-4</v>
      </c>
      <c r="G77" s="56">
        <f t="shared" si="39"/>
        <v>47794675416450.969</v>
      </c>
      <c r="H77" s="77">
        <f t="shared" si="40"/>
        <v>-8.1594735215559377E-6</v>
      </c>
      <c r="I77" s="56">
        <f t="shared" si="41"/>
        <v>100000</v>
      </c>
      <c r="J77" s="56" t="str">
        <f t="shared" si="42"/>
        <v/>
      </c>
      <c r="K77" s="56">
        <f t="shared" si="43"/>
        <v>100000</v>
      </c>
      <c r="L77" s="51">
        <f t="shared" si="51"/>
        <v>-1000000000000</v>
      </c>
      <c r="M77" s="46" t="str">
        <f t="shared" si="44"/>
        <v/>
      </c>
      <c r="N77" s="46" t="str">
        <f t="shared" si="45"/>
        <v/>
      </c>
      <c r="O77" s="51" t="e">
        <f t="shared" si="46"/>
        <v>#DIV/0!</v>
      </c>
      <c r="P77" s="56">
        <f t="shared" si="52"/>
        <v>1.1151869854869669E-10</v>
      </c>
      <c r="Q77" s="51" t="str">
        <f t="shared" si="53"/>
        <v/>
      </c>
      <c r="R77" s="40" t="str">
        <f t="shared" ref="R77:R108" si="56">IF(Q77="","",1/Q77)</f>
        <v/>
      </c>
      <c r="S77" s="57">
        <f>IF(AND(E77&gt;0.95*BiasLight,E77&lt;1.05*BiasLight),"",IF(AugerModel="Sinton",calclifetimeauger(Auger_Coefficient,I77,P77),calclifetimerichter(SampleType,I77,SampleDoping,P77)))</f>
        <v>8967106081.8857346</v>
      </c>
      <c r="T77" s="295" t="str">
        <f t="shared" si="55"/>
        <v/>
      </c>
      <c r="U77" s="57" t="e">
        <f t="shared" si="47"/>
        <v>#DIV/0!</v>
      </c>
      <c r="V77" s="40">
        <f>IF(AugerModel="Sinton","",IF(SampleType="n-type",n_intr_boltzmann(SampleDoping,0,K77,298.15),n_intr_boltzmann(0,SampleDoping,K77,298.15)))</f>
        <v>8310848067.6308546</v>
      </c>
      <c r="W77" s="40" t="str">
        <f t="shared" si="50"/>
        <v/>
      </c>
      <c r="X77" s="58" t="e">
        <f>IF(AND(A77&gt;TimeofMaxCD,I77&gt;Traps),IF(AugerModel="Sinton",CalcImpliedV(SampleDoping,O77),CalcImpliedVRichter(O77,SampleDoping,V77)),"")</f>
        <v>#DIV/0!</v>
      </c>
      <c r="Y77" s="37" t="e">
        <f t="shared" si="48"/>
        <v>#DIV/0!</v>
      </c>
      <c r="Z77" s="41" t="str">
        <f t="shared" si="49"/>
        <v/>
      </c>
    </row>
    <row r="78" spans="1:26">
      <c r="A78" s="53">
        <v>1.7791899999999999E-2</v>
      </c>
      <c r="B78" s="53">
        <v>-4.5118399999999998E-4</v>
      </c>
      <c r="C78" s="54">
        <v>-2.43337E-5</v>
      </c>
      <c r="D78" s="58">
        <f>IF(CouplingMode="AC",B78-(A$11-A$10)*SUM(B$9:B78)/0.21,B78)</f>
        <v>-4.5118399999999998E-4</v>
      </c>
      <c r="E78" s="55">
        <f t="shared" si="37"/>
        <v>1.0000000000000001E-5</v>
      </c>
      <c r="F78" s="55">
        <f t="shared" si="38"/>
        <v>1.0000000000000001E-5</v>
      </c>
      <c r="G78" s="56">
        <f t="shared" si="39"/>
        <v>1660424469413.2334</v>
      </c>
      <c r="H78" s="77">
        <f t="shared" si="40"/>
        <v>-1.4627666243674509E-5</v>
      </c>
      <c r="I78" s="56">
        <f t="shared" si="41"/>
        <v>100000</v>
      </c>
      <c r="J78" s="56" t="str">
        <f t="shared" si="42"/>
        <v/>
      </c>
      <c r="K78" s="56">
        <f t="shared" si="43"/>
        <v>100000</v>
      </c>
      <c r="L78" s="51">
        <f t="shared" si="51"/>
        <v>-1000000000000</v>
      </c>
      <c r="M78" s="46" t="str">
        <f t="shared" si="44"/>
        <v/>
      </c>
      <c r="N78" s="46" t="str">
        <f t="shared" si="45"/>
        <v/>
      </c>
      <c r="O78" s="51" t="e">
        <f t="shared" si="46"/>
        <v>#DIV/0!</v>
      </c>
      <c r="P78" s="56">
        <f t="shared" si="52"/>
        <v>3.2100225563909774E-9</v>
      </c>
      <c r="Q78" s="51" t="str">
        <f t="shared" si="53"/>
        <v/>
      </c>
      <c r="R78" s="40" t="str">
        <f t="shared" si="56"/>
        <v/>
      </c>
      <c r="S78" s="57">
        <f>IF(AND(E78&gt;0.95*BiasLight,E78&lt;1.05*BiasLight),"",IF(AugerModel="Sinton",calclifetimeauger(Auger_Coefficient,I78,P78),calclifetimerichter(SampleType,I78,SampleDoping,P78)))</f>
        <v>311524290.69666672</v>
      </c>
      <c r="T78" s="295" t="str">
        <f t="shared" si="55"/>
        <v/>
      </c>
      <c r="U78" s="57" t="e">
        <f t="shared" si="47"/>
        <v>#DIV/0!</v>
      </c>
      <c r="V78" s="40">
        <f>IF(AugerModel="Sinton","",IF(SampleType="n-type",n_intr_boltzmann(SampleDoping,0,K78,298.15),n_intr_boltzmann(0,SampleDoping,K78,298.15)))</f>
        <v>8310848067.6308546</v>
      </c>
      <c r="W78" s="40" t="str">
        <f t="shared" si="50"/>
        <v/>
      </c>
      <c r="X78" s="58" t="e">
        <f>IF(AND(A78&gt;TimeofMaxCD,I78&gt;Traps),IF(AugerModel="Sinton",CalcImpliedV(SampleDoping,O78),CalcImpliedVRichter(O78,SampleDoping,V78)),"")</f>
        <v>#DIV/0!</v>
      </c>
      <c r="Y78" s="37" t="e">
        <f t="shared" si="48"/>
        <v>#DIV/0!</v>
      </c>
      <c r="Z78" s="41" t="str">
        <f t="shared" si="49"/>
        <v/>
      </c>
    </row>
    <row r="79" spans="1:26">
      <c r="A79" s="53">
        <v>1.8047899999999999E-2</v>
      </c>
      <c r="B79" s="53">
        <v>-5.0611600000000003E-4</v>
      </c>
      <c r="C79" s="54">
        <v>-5.77123E-5</v>
      </c>
      <c r="D79" s="58">
        <f>IF(CouplingMode="AC",B79-(A$11-A$10)*SUM(B$9:B79)/0.21,B79)</f>
        <v>-5.0611600000000003E-4</v>
      </c>
      <c r="E79" s="55">
        <f t="shared" si="37"/>
        <v>1.0000000000000001E-5</v>
      </c>
      <c r="F79" s="55">
        <f t="shared" si="38"/>
        <v>1.0000000000000001E-5</v>
      </c>
      <c r="G79" s="56">
        <f t="shared" si="39"/>
        <v>1660424469413.2334</v>
      </c>
      <c r="H79" s="77">
        <f t="shared" si="40"/>
        <v>-1.6408588528596391E-5</v>
      </c>
      <c r="I79" s="56">
        <f t="shared" si="41"/>
        <v>100000</v>
      </c>
      <c r="J79" s="56" t="str">
        <f t="shared" si="42"/>
        <v/>
      </c>
      <c r="K79" s="56">
        <f t="shared" si="43"/>
        <v>100000</v>
      </c>
      <c r="L79" s="51">
        <f t="shared" si="51"/>
        <v>-1000000000000</v>
      </c>
      <c r="M79" s="46" t="str">
        <f t="shared" si="44"/>
        <v/>
      </c>
      <c r="N79" s="46" t="str">
        <f t="shared" si="45"/>
        <v/>
      </c>
      <c r="O79" s="51" t="e">
        <f t="shared" si="46"/>
        <v>#DIV/0!</v>
      </c>
      <c r="P79" s="56">
        <f t="shared" si="52"/>
        <v>3.2100225563909774E-9</v>
      </c>
      <c r="Q79" s="51" t="str">
        <f t="shared" si="53"/>
        <v/>
      </c>
      <c r="R79" s="40" t="str">
        <f t="shared" si="56"/>
        <v/>
      </c>
      <c r="S79" s="57">
        <f>IF(AND(E79&gt;0.95*BiasLight,E79&lt;1.05*BiasLight),"",IF(AugerModel="Sinton",calclifetimeauger(Auger_Coefficient,I79,P79),calclifetimerichter(SampleType,I79,SampleDoping,P79)))</f>
        <v>311524290.69666672</v>
      </c>
      <c r="T79" s="295" t="str">
        <f t="shared" si="55"/>
        <v/>
      </c>
      <c r="U79" s="57" t="e">
        <f t="shared" si="47"/>
        <v>#DIV/0!</v>
      </c>
      <c r="V79" s="40">
        <f>IF(AugerModel="Sinton","",IF(SampleType="n-type",n_intr_boltzmann(SampleDoping,0,K79,298.15),n_intr_boltzmann(0,SampleDoping,K79,298.15)))</f>
        <v>8310848067.6308546</v>
      </c>
      <c r="W79" s="40" t="str">
        <f t="shared" si="50"/>
        <v/>
      </c>
      <c r="X79" s="58" t="e">
        <f>IF(AND(A79&gt;TimeofMaxCD,I79&gt;Traps),IF(AugerModel="Sinton",CalcImpliedV(SampleDoping,O79),CalcImpliedVRichter(O79,SampleDoping,V79)),"")</f>
        <v>#DIV/0!</v>
      </c>
      <c r="Y79" s="37" t="e">
        <f t="shared" si="48"/>
        <v>#DIV/0!</v>
      </c>
      <c r="Z79" s="41" t="str">
        <f t="shared" si="49"/>
        <v/>
      </c>
    </row>
    <row r="80" spans="1:26">
      <c r="A80" s="53">
        <v>1.8303900000000001E-2</v>
      </c>
      <c r="B80" s="53">
        <v>-7.0600600000000002E-4</v>
      </c>
      <c r="C80" s="54">
        <v>-1.5861099999999999E-4</v>
      </c>
      <c r="D80" s="58">
        <f>IF(CouplingMode="AC",B80-(A$11-A$10)*SUM(B$9:B80)/0.21,B80)</f>
        <v>-7.0600600000000002E-4</v>
      </c>
      <c r="E80" s="55">
        <f t="shared" si="37"/>
        <v>1.0000000000000001E-5</v>
      </c>
      <c r="F80" s="55">
        <f t="shared" si="38"/>
        <v>1.0000000000000001E-5</v>
      </c>
      <c r="G80" s="56">
        <f t="shared" si="39"/>
        <v>1660424469413.2334</v>
      </c>
      <c r="H80" s="77">
        <f t="shared" si="40"/>
        <v>-2.2889106524440206E-5</v>
      </c>
      <c r="I80" s="56">
        <f t="shared" si="41"/>
        <v>100000</v>
      </c>
      <c r="J80" s="56" t="str">
        <f t="shared" si="42"/>
        <v/>
      </c>
      <c r="K80" s="56">
        <f t="shared" si="43"/>
        <v>100000</v>
      </c>
      <c r="L80" s="51">
        <f t="shared" si="51"/>
        <v>-1000000000000</v>
      </c>
      <c r="M80" s="46" t="str">
        <f t="shared" si="44"/>
        <v/>
      </c>
      <c r="N80" s="46" t="str">
        <f t="shared" si="45"/>
        <v/>
      </c>
      <c r="O80" s="51" t="e">
        <f t="shared" si="46"/>
        <v>#DIV/0!</v>
      </c>
      <c r="P80" s="56">
        <f t="shared" si="52"/>
        <v>3.2100225563909774E-9</v>
      </c>
      <c r="Q80" s="51" t="str">
        <f t="shared" si="53"/>
        <v/>
      </c>
      <c r="R80" s="40" t="str">
        <f t="shared" si="56"/>
        <v/>
      </c>
      <c r="S80" s="57">
        <f>IF(AND(E80&gt;0.95*BiasLight,E80&lt;1.05*BiasLight),"",IF(AugerModel="Sinton",calclifetimeauger(Auger_Coefficient,I80,P80),calclifetimerichter(SampleType,I80,SampleDoping,P80)))</f>
        <v>311524290.69666672</v>
      </c>
      <c r="T80" s="295" t="str">
        <f t="shared" si="55"/>
        <v/>
      </c>
      <c r="U80" s="57" t="e">
        <f t="shared" si="47"/>
        <v>#DIV/0!</v>
      </c>
      <c r="V80" s="40">
        <f>IF(AugerModel="Sinton","",IF(SampleType="n-type",n_intr_boltzmann(SampleDoping,0,K80,298.15),n_intr_boltzmann(0,SampleDoping,K80,298.15)))</f>
        <v>8310848067.6308546</v>
      </c>
      <c r="W80" s="40" t="str">
        <f t="shared" si="50"/>
        <v/>
      </c>
      <c r="X80" s="58" t="e">
        <f>IF(AND(A80&gt;TimeofMaxCD,I80&gt;Traps),IF(AugerModel="Sinton",CalcImpliedV(SampleDoping,O80),CalcImpliedVRichter(O80,SampleDoping,V80)),"")</f>
        <v>#DIV/0!</v>
      </c>
      <c r="Y80" s="37" t="e">
        <f t="shared" si="48"/>
        <v>#DIV/0!</v>
      </c>
      <c r="Z80" s="41" t="str">
        <f t="shared" si="49"/>
        <v/>
      </c>
    </row>
    <row r="81" spans="1:26">
      <c r="A81" s="53">
        <v>1.8559900000000001E-2</v>
      </c>
      <c r="B81" s="53">
        <v>-5.7077500000000004E-4</v>
      </c>
      <c r="C81" s="54">
        <v>-1.42208E-4</v>
      </c>
      <c r="D81" s="58">
        <f>IF(CouplingMode="AC",B81-(A$11-A$10)*SUM(B$9:B81)/0.21,B81)</f>
        <v>-5.7077500000000004E-4</v>
      </c>
      <c r="E81" s="55">
        <f t="shared" si="37"/>
        <v>1.0000000000000001E-5</v>
      </c>
      <c r="F81" s="55">
        <f t="shared" si="38"/>
        <v>1.0000000000000001E-5</v>
      </c>
      <c r="G81" s="56">
        <f t="shared" si="39"/>
        <v>1660424469413.2334</v>
      </c>
      <c r="H81" s="77">
        <f t="shared" si="40"/>
        <v>-1.8504862859265725E-5</v>
      </c>
      <c r="I81" s="56">
        <f t="shared" si="41"/>
        <v>100000</v>
      </c>
      <c r="J81" s="56" t="str">
        <f t="shared" si="42"/>
        <v/>
      </c>
      <c r="K81" s="56">
        <f t="shared" si="43"/>
        <v>100000</v>
      </c>
      <c r="L81" s="51">
        <f t="shared" si="51"/>
        <v>-1000000000000</v>
      </c>
      <c r="M81" s="46" t="str">
        <f t="shared" si="44"/>
        <v/>
      </c>
      <c r="N81" s="46" t="str">
        <f t="shared" si="45"/>
        <v/>
      </c>
      <c r="O81" s="51" t="e">
        <f t="shared" si="46"/>
        <v>#DIV/0!</v>
      </c>
      <c r="P81" s="56">
        <f t="shared" si="52"/>
        <v>3.2100225563909774E-9</v>
      </c>
      <c r="Q81" s="51" t="str">
        <f t="shared" si="53"/>
        <v/>
      </c>
      <c r="R81" s="40" t="str">
        <f t="shared" si="56"/>
        <v/>
      </c>
      <c r="S81" s="57">
        <f>IF(AND(E81&gt;0.95*BiasLight,E81&lt;1.05*BiasLight),"",IF(AugerModel="Sinton",calclifetimeauger(Auger_Coefficient,I81,P81),calclifetimerichter(SampleType,I81,SampleDoping,P81)))</f>
        <v>311524290.69666672</v>
      </c>
      <c r="T81" s="295" t="str">
        <f t="shared" si="55"/>
        <v/>
      </c>
      <c r="U81" s="57" t="e">
        <f t="shared" si="47"/>
        <v>#DIV/0!</v>
      </c>
      <c r="V81" s="40">
        <f>IF(AugerModel="Sinton","",IF(SampleType="n-type",n_intr_boltzmann(SampleDoping,0,K81,298.15),n_intr_boltzmann(0,SampleDoping,K81,298.15)))</f>
        <v>8310848067.6308546</v>
      </c>
      <c r="W81" s="40" t="str">
        <f t="shared" si="50"/>
        <v/>
      </c>
      <c r="X81" s="58" t="e">
        <f>IF(AND(A81&gt;TimeofMaxCD,I81&gt;Traps),IF(AugerModel="Sinton",CalcImpliedV(SampleDoping,O81),CalcImpliedVRichter(O81,SampleDoping,V81)),"")</f>
        <v>#DIV/0!</v>
      </c>
      <c r="Y81" s="37" t="e">
        <f t="shared" si="48"/>
        <v>#DIV/0!</v>
      </c>
      <c r="Z81" s="41" t="str">
        <f t="shared" si="49"/>
        <v/>
      </c>
    </row>
    <row r="82" spans="1:26">
      <c r="A82" s="53">
        <v>1.88159E-2</v>
      </c>
      <c r="B82" s="53">
        <v>-5.4979400000000004E-4</v>
      </c>
      <c r="C82" s="54">
        <v>-2.6313399999999999E-4</v>
      </c>
      <c r="D82" s="58">
        <f>IF(CouplingMode="AC",B82-(A$11-A$10)*SUM(B$9:B82)/0.21,B82)</f>
        <v>-5.4979400000000004E-4</v>
      </c>
      <c r="E82" s="55">
        <f t="shared" si="37"/>
        <v>1.0000000000000001E-5</v>
      </c>
      <c r="F82" s="55">
        <f t="shared" si="38"/>
        <v>1.0000000000000001E-5</v>
      </c>
      <c r="G82" s="56">
        <f t="shared" si="39"/>
        <v>1660424469413.2334</v>
      </c>
      <c r="H82" s="77">
        <f t="shared" si="40"/>
        <v>-1.7824649493153322E-5</v>
      </c>
      <c r="I82" s="56">
        <f t="shared" si="41"/>
        <v>100000</v>
      </c>
      <c r="J82" s="56" t="str">
        <f t="shared" si="42"/>
        <v/>
      </c>
      <c r="K82" s="56">
        <f t="shared" si="43"/>
        <v>100000</v>
      </c>
      <c r="L82" s="51">
        <f t="shared" si="51"/>
        <v>-1000000000000</v>
      </c>
      <c r="M82" s="46" t="str">
        <f t="shared" si="44"/>
        <v/>
      </c>
      <c r="N82" s="46" t="str">
        <f t="shared" si="45"/>
        <v/>
      </c>
      <c r="O82" s="51" t="e">
        <f t="shared" si="46"/>
        <v>#DIV/0!</v>
      </c>
      <c r="P82" s="56">
        <f t="shared" si="52"/>
        <v>3.2100225563909774E-9</v>
      </c>
      <c r="Q82" s="51" t="str">
        <f t="shared" si="53"/>
        <v/>
      </c>
      <c r="R82" s="40" t="str">
        <f t="shared" si="56"/>
        <v/>
      </c>
      <c r="S82" s="57">
        <f>IF(AND(E82&gt;0.95*BiasLight,E82&lt;1.05*BiasLight),"",IF(AugerModel="Sinton",calclifetimeauger(Auger_Coefficient,I82,P82),calclifetimerichter(SampleType,I82,SampleDoping,P82)))</f>
        <v>311524290.69666672</v>
      </c>
      <c r="T82" s="295" t="str">
        <f t="shared" si="55"/>
        <v/>
      </c>
      <c r="U82" s="57" t="e">
        <f t="shared" si="47"/>
        <v>#DIV/0!</v>
      </c>
      <c r="V82" s="40">
        <f>IF(AugerModel="Sinton","",IF(SampleType="n-type",n_intr_boltzmann(SampleDoping,0,K82,298.15),n_intr_boltzmann(0,SampleDoping,K82,298.15)))</f>
        <v>8310848067.6308546</v>
      </c>
      <c r="W82" s="40" t="str">
        <f t="shared" si="50"/>
        <v/>
      </c>
      <c r="X82" s="58" t="e">
        <f>IF(AND(A82&gt;TimeofMaxCD,I82&gt;Traps),IF(AugerModel="Sinton",CalcImpliedV(SampleDoping,O82),CalcImpliedVRichter(O82,SampleDoping,V82)),"")</f>
        <v>#DIV/0!</v>
      </c>
      <c r="Y82" s="37" t="e">
        <f t="shared" si="48"/>
        <v>#DIV/0!</v>
      </c>
      <c r="Z82" s="41" t="str">
        <f t="shared" si="49"/>
        <v/>
      </c>
    </row>
    <row r="83" spans="1:26">
      <c r="A83" s="53">
        <v>1.9071899999999999E-2</v>
      </c>
      <c r="B83" s="53">
        <v>-6.8483400000000005E-4</v>
      </c>
      <c r="C83" s="54">
        <v>-3.2474100000000003E-4</v>
      </c>
      <c r="D83" s="58">
        <f>IF(CouplingMode="AC",B83-(A$11-A$10)*SUM(B$9:B83)/0.21,B83)</f>
        <v>-6.8483400000000005E-4</v>
      </c>
      <c r="E83" s="55">
        <f t="shared" si="37"/>
        <v>1.0000000000000001E-5</v>
      </c>
      <c r="F83" s="55">
        <f t="shared" si="38"/>
        <v>1.0000000000000001E-5</v>
      </c>
      <c r="G83" s="56">
        <f t="shared" si="39"/>
        <v>1660424469413.2334</v>
      </c>
      <c r="H83" s="77">
        <f t="shared" si="40"/>
        <v>-2.2202702368606664E-5</v>
      </c>
      <c r="I83" s="56">
        <f t="shared" si="41"/>
        <v>100000</v>
      </c>
      <c r="J83" s="56" t="str">
        <f t="shared" si="42"/>
        <v/>
      </c>
      <c r="K83" s="56">
        <f t="shared" si="43"/>
        <v>100000</v>
      </c>
      <c r="L83" s="51">
        <f t="shared" si="51"/>
        <v>-1000000000000</v>
      </c>
      <c r="M83" s="46" t="str">
        <f t="shared" si="44"/>
        <v/>
      </c>
      <c r="N83" s="46" t="str">
        <f t="shared" si="45"/>
        <v/>
      </c>
      <c r="O83" s="51" t="e">
        <f t="shared" si="46"/>
        <v>#DIV/0!</v>
      </c>
      <c r="P83" s="56">
        <f t="shared" si="52"/>
        <v>3.2100225563909774E-9</v>
      </c>
      <c r="Q83" s="51" t="str">
        <f t="shared" si="53"/>
        <v/>
      </c>
      <c r="R83" s="40" t="str">
        <f t="shared" si="56"/>
        <v/>
      </c>
      <c r="S83" s="57">
        <f>IF(AND(E83&gt;0.95*BiasLight,E83&lt;1.05*BiasLight),"",IF(AugerModel="Sinton",calclifetimeauger(Auger_Coefficient,I83,P83),calclifetimerichter(SampleType,I83,SampleDoping,P83)))</f>
        <v>311524290.69666672</v>
      </c>
      <c r="T83" s="295" t="str">
        <f t="shared" si="55"/>
        <v/>
      </c>
      <c r="U83" s="57" t="e">
        <f t="shared" si="47"/>
        <v>#DIV/0!</v>
      </c>
      <c r="V83" s="40">
        <f>IF(AugerModel="Sinton","",IF(SampleType="n-type",n_intr_boltzmann(SampleDoping,0,K83,298.15),n_intr_boltzmann(0,SampleDoping,K83,298.15)))</f>
        <v>8310848067.6308546</v>
      </c>
      <c r="W83" s="40" t="str">
        <f t="shared" si="50"/>
        <v/>
      </c>
      <c r="X83" s="58" t="e">
        <f>IF(AND(A83&gt;TimeofMaxCD,I83&gt;Traps),IF(AugerModel="Sinton",CalcImpliedV(SampleDoping,O83),CalcImpliedVRichter(O83,SampleDoping,V83)),"")</f>
        <v>#DIV/0!</v>
      </c>
      <c r="Y83" s="37" t="e">
        <f t="shared" si="48"/>
        <v>#DIV/0!</v>
      </c>
      <c r="Z83" s="41" t="str">
        <f t="shared" si="49"/>
        <v/>
      </c>
    </row>
    <row r="84" spans="1:26">
      <c r="A84" s="53">
        <v>1.9327899999999999E-2</v>
      </c>
      <c r="B84" s="53">
        <v>-4.9314599999999997E-4</v>
      </c>
      <c r="C84" s="54">
        <v>-3.5640299999999998E-4</v>
      </c>
      <c r="D84" s="58">
        <f>IF(CouplingMode="AC",B84-(A$11-A$10)*SUM(B$9:B84)/0.21,B84)</f>
        <v>-4.9314599999999997E-4</v>
      </c>
      <c r="E84" s="55">
        <f t="shared" si="37"/>
        <v>1.0000000000000001E-5</v>
      </c>
      <c r="F84" s="55">
        <f t="shared" si="38"/>
        <v>1.0000000000000001E-5</v>
      </c>
      <c r="G84" s="56">
        <f t="shared" si="39"/>
        <v>1660424469413.2334</v>
      </c>
      <c r="H84" s="77">
        <f t="shared" si="40"/>
        <v>-1.5988094934367425E-5</v>
      </c>
      <c r="I84" s="56">
        <f t="shared" si="41"/>
        <v>100000</v>
      </c>
      <c r="J84" s="56" t="str">
        <f t="shared" si="42"/>
        <v/>
      </c>
      <c r="K84" s="56">
        <f t="shared" si="43"/>
        <v>100000</v>
      </c>
      <c r="L84" s="51">
        <f t="shared" si="51"/>
        <v>-1000000000000</v>
      </c>
      <c r="M84" s="46" t="str">
        <f t="shared" si="44"/>
        <v/>
      </c>
      <c r="N84" s="46" t="str">
        <f t="shared" si="45"/>
        <v/>
      </c>
      <c r="O84" s="51" t="e">
        <f t="shared" si="46"/>
        <v>#DIV/0!</v>
      </c>
      <c r="P84" s="56">
        <f t="shared" si="52"/>
        <v>3.2100225563909774E-9</v>
      </c>
      <c r="Q84" s="51" t="str">
        <f t="shared" si="53"/>
        <v/>
      </c>
      <c r="R84" s="40" t="str">
        <f t="shared" si="56"/>
        <v/>
      </c>
      <c r="S84" s="57">
        <f>IF(AND(E84&gt;0.95*BiasLight,E84&lt;1.05*BiasLight),"",IF(AugerModel="Sinton",calclifetimeauger(Auger_Coefficient,I84,P84),calclifetimerichter(SampleType,I84,SampleDoping,P84)))</f>
        <v>311524290.69666672</v>
      </c>
      <c r="T84" s="295" t="str">
        <f t="shared" si="55"/>
        <v/>
      </c>
      <c r="U84" s="57" t="e">
        <f t="shared" si="47"/>
        <v>#DIV/0!</v>
      </c>
      <c r="V84" s="40">
        <f>IF(AugerModel="Sinton","",IF(SampleType="n-type",n_intr_boltzmann(SampleDoping,0,K84,298.15),n_intr_boltzmann(0,SampleDoping,K84,298.15)))</f>
        <v>8310848067.6308546</v>
      </c>
      <c r="W84" s="40" t="str">
        <f t="shared" si="50"/>
        <v/>
      </c>
      <c r="X84" s="58" t="e">
        <f>IF(AND(A84&gt;TimeofMaxCD,I84&gt;Traps),IF(AugerModel="Sinton",CalcImpliedV(SampleDoping,O84),CalcImpliedVRichter(O84,SampleDoping,V84)),"")</f>
        <v>#DIV/0!</v>
      </c>
      <c r="Y84" s="37" t="e">
        <f t="shared" si="48"/>
        <v>#DIV/0!</v>
      </c>
      <c r="Z84" s="41" t="str">
        <f t="shared" si="49"/>
        <v/>
      </c>
    </row>
    <row r="85" spans="1:26">
      <c r="A85" s="53">
        <v>1.9583900000000001E-2</v>
      </c>
      <c r="B85" s="53">
        <v>-3.9320000000000002E-4</v>
      </c>
      <c r="C85" s="54">
        <v>-1.22371E-4</v>
      </c>
      <c r="D85" s="58">
        <f>IF(CouplingMode="AC",B85-(A$11-A$10)*SUM(B$9:B85)/0.21,B85)</f>
        <v>-3.9320000000000002E-4</v>
      </c>
      <c r="E85" s="55">
        <f t="shared" si="37"/>
        <v>1.0000000000000001E-5</v>
      </c>
      <c r="F85" s="55">
        <f t="shared" si="38"/>
        <v>1.0000000000000001E-5</v>
      </c>
      <c r="G85" s="56">
        <f t="shared" si="39"/>
        <v>1660424469413.2334</v>
      </c>
      <c r="H85" s="77">
        <f t="shared" si="40"/>
        <v>-1.2747794893366859E-5</v>
      </c>
      <c r="I85" s="56">
        <f t="shared" si="41"/>
        <v>100000</v>
      </c>
      <c r="J85" s="56" t="str">
        <f t="shared" si="42"/>
        <v/>
      </c>
      <c r="K85" s="56">
        <f t="shared" si="43"/>
        <v>100000</v>
      </c>
      <c r="L85" s="51">
        <f t="shared" si="51"/>
        <v>-1000000000000</v>
      </c>
      <c r="M85" s="46" t="str">
        <f t="shared" si="44"/>
        <v/>
      </c>
      <c r="N85" s="46" t="str">
        <f t="shared" si="45"/>
        <v/>
      </c>
      <c r="O85" s="51" t="e">
        <f t="shared" si="46"/>
        <v>#DIV/0!</v>
      </c>
      <c r="P85" s="56">
        <f t="shared" si="52"/>
        <v>3.2100225563909774E-9</v>
      </c>
      <c r="Q85" s="51" t="str">
        <f t="shared" si="53"/>
        <v/>
      </c>
      <c r="R85" s="40" t="str">
        <f t="shared" si="56"/>
        <v/>
      </c>
      <c r="S85" s="57">
        <f>IF(AND(E85&gt;0.95*BiasLight,E85&lt;1.05*BiasLight),"",IF(AugerModel="Sinton",calclifetimeauger(Auger_Coefficient,I85,P85),calclifetimerichter(SampleType,I85,SampleDoping,P85)))</f>
        <v>311524290.69666672</v>
      </c>
      <c r="T85" s="295" t="str">
        <f t="shared" si="55"/>
        <v/>
      </c>
      <c r="U85" s="57" t="e">
        <f t="shared" si="47"/>
        <v>#DIV/0!</v>
      </c>
      <c r="V85" s="40">
        <f>IF(AugerModel="Sinton","",IF(SampleType="n-type",n_intr_boltzmann(SampleDoping,0,K85,298.15),n_intr_boltzmann(0,SampleDoping,K85,298.15)))</f>
        <v>8310848067.6308546</v>
      </c>
      <c r="W85" s="40" t="str">
        <f t="shared" si="50"/>
        <v/>
      </c>
      <c r="X85" s="58" t="e">
        <f>IF(AND(A85&gt;TimeofMaxCD,I85&gt;Traps),IF(AugerModel="Sinton",CalcImpliedV(SampleDoping,O85),CalcImpliedVRichter(O85,SampleDoping,V85)),"")</f>
        <v>#DIV/0!</v>
      </c>
      <c r="Y85" s="37" t="e">
        <f t="shared" si="48"/>
        <v>#DIV/0!</v>
      </c>
      <c r="Z85" s="41" t="str">
        <f t="shared" si="49"/>
        <v/>
      </c>
    </row>
    <row r="86" spans="1:26">
      <c r="A86" s="53">
        <v>1.9839900000000001E-2</v>
      </c>
      <c r="B86" s="53">
        <v>-5.3033900000000001E-4</v>
      </c>
      <c r="C86" s="54">
        <v>-8.9946500000000004E-5</v>
      </c>
      <c r="D86" s="58">
        <f>IF(CouplingMode="AC",B86-(A$11-A$10)*SUM(B$9:B86)/0.21,B86)</f>
        <v>-5.3033900000000001E-4</v>
      </c>
      <c r="E86" s="55">
        <f t="shared" si="37"/>
        <v>1.0000000000000001E-5</v>
      </c>
      <c r="F86" s="55">
        <f t="shared" si="38"/>
        <v>1.0000000000000001E-5</v>
      </c>
      <c r="G86" s="56">
        <f t="shared" si="39"/>
        <v>1660424469413.2334</v>
      </c>
      <c r="H86" s="77">
        <f t="shared" si="40"/>
        <v>-1.7193909518466166E-5</v>
      </c>
      <c r="I86" s="56">
        <f t="shared" si="41"/>
        <v>100000</v>
      </c>
      <c r="J86" s="56" t="str">
        <f t="shared" si="42"/>
        <v/>
      </c>
      <c r="K86" s="56">
        <f t="shared" si="43"/>
        <v>100000</v>
      </c>
      <c r="L86" s="51">
        <f t="shared" si="51"/>
        <v>-1000000000000</v>
      </c>
      <c r="M86" s="46" t="str">
        <f t="shared" si="44"/>
        <v/>
      </c>
      <c r="N86" s="46" t="str">
        <f t="shared" si="45"/>
        <v/>
      </c>
      <c r="O86" s="51" t="e">
        <f t="shared" si="46"/>
        <v>#DIV/0!</v>
      </c>
      <c r="P86" s="56">
        <f t="shared" si="52"/>
        <v>3.2100225563909774E-9</v>
      </c>
      <c r="Q86" s="51" t="str">
        <f t="shared" si="53"/>
        <v/>
      </c>
      <c r="R86" s="40" t="str">
        <f t="shared" si="56"/>
        <v/>
      </c>
      <c r="S86" s="57">
        <f>IF(AND(E86&gt;0.95*BiasLight,E86&lt;1.05*BiasLight),"",IF(AugerModel="Sinton",calclifetimeauger(Auger_Coefficient,I86,P86),calclifetimerichter(SampleType,I86,SampleDoping,P86)))</f>
        <v>311524290.69666672</v>
      </c>
      <c r="T86" s="295" t="str">
        <f t="shared" si="55"/>
        <v/>
      </c>
      <c r="U86" s="57" t="e">
        <f t="shared" si="47"/>
        <v>#DIV/0!</v>
      </c>
      <c r="V86" s="40">
        <f>IF(AugerModel="Sinton","",IF(SampleType="n-type",n_intr_boltzmann(SampleDoping,0,K86,298.15),n_intr_boltzmann(0,SampleDoping,K86,298.15)))</f>
        <v>8310848067.6308546</v>
      </c>
      <c r="W86" s="40" t="str">
        <f t="shared" si="50"/>
        <v/>
      </c>
      <c r="X86" s="58" t="e">
        <f>IF(AND(A86&gt;TimeofMaxCD,I86&gt;Traps),IF(AugerModel="Sinton",CalcImpliedV(SampleDoping,O86),CalcImpliedVRichter(O86,SampleDoping,V86)),"")</f>
        <v>#DIV/0!</v>
      </c>
      <c r="Y86" s="37" t="e">
        <f t="shared" si="48"/>
        <v>#DIV/0!</v>
      </c>
      <c r="Z86" s="41" t="str">
        <f t="shared" si="49"/>
        <v/>
      </c>
    </row>
    <row r="87" spans="1:26">
      <c r="A87" s="53">
        <v>2.00959E-2</v>
      </c>
      <c r="B87" s="53">
        <v>-4.7865000000000001E-4</v>
      </c>
      <c r="C87" s="54">
        <v>-3.2153899999999997E-5</v>
      </c>
      <c r="D87" s="58">
        <f>IF(CouplingMode="AC",B87-(A$11-A$10)*SUM(B$9:B87)/0.21,B87)</f>
        <v>-4.7865000000000001E-4</v>
      </c>
      <c r="E87" s="55">
        <f t="shared" si="37"/>
        <v>1.0000000000000001E-5</v>
      </c>
      <c r="F87" s="55">
        <f t="shared" si="38"/>
        <v>1.0000000000000001E-5</v>
      </c>
      <c r="G87" s="56">
        <f t="shared" si="39"/>
        <v>1660424469413.2334</v>
      </c>
      <c r="H87" s="77">
        <f t="shared" si="40"/>
        <v>-1.5518127585913144E-5</v>
      </c>
      <c r="I87" s="56">
        <f t="shared" si="41"/>
        <v>100000</v>
      </c>
      <c r="J87" s="56" t="str">
        <f t="shared" si="42"/>
        <v/>
      </c>
      <c r="K87" s="56">
        <f t="shared" si="43"/>
        <v>100000</v>
      </c>
      <c r="L87" s="51">
        <f t="shared" si="51"/>
        <v>-1000000000000</v>
      </c>
      <c r="M87" s="46" t="str">
        <f t="shared" si="44"/>
        <v/>
      </c>
      <c r="N87" s="46" t="str">
        <f t="shared" si="45"/>
        <v/>
      </c>
      <c r="O87" s="51" t="e">
        <f t="shared" si="46"/>
        <v>#DIV/0!</v>
      </c>
      <c r="P87" s="56">
        <f t="shared" si="52"/>
        <v>3.2100225563909774E-9</v>
      </c>
      <c r="Q87" s="51" t="str">
        <f t="shared" si="53"/>
        <v/>
      </c>
      <c r="R87" s="40" t="str">
        <f t="shared" si="56"/>
        <v/>
      </c>
      <c r="S87" s="57">
        <f>IF(AND(E87&gt;0.95*BiasLight,E87&lt;1.05*BiasLight),"",IF(AugerModel="Sinton",calclifetimeauger(Auger_Coefficient,I87,P87),calclifetimerichter(SampleType,I87,SampleDoping,P87)))</f>
        <v>311524290.69666672</v>
      </c>
      <c r="T87" s="295" t="str">
        <f t="shared" si="55"/>
        <v/>
      </c>
      <c r="U87" s="57" t="e">
        <f t="shared" si="47"/>
        <v>#DIV/0!</v>
      </c>
      <c r="V87" s="40">
        <f>IF(AugerModel="Sinton","",IF(SampleType="n-type",n_intr_boltzmann(SampleDoping,0,K87,298.15),n_intr_boltzmann(0,SampleDoping,K87,298.15)))</f>
        <v>8310848067.6308546</v>
      </c>
      <c r="W87" s="40" t="str">
        <f t="shared" si="50"/>
        <v/>
      </c>
      <c r="X87" s="58" t="e">
        <f>IF(AND(A87&gt;TimeofMaxCD,I87&gt;Traps),IF(AugerModel="Sinton",CalcImpliedV(SampleDoping,O87),CalcImpliedVRichter(O87,SampleDoping,V87)),"")</f>
        <v>#DIV/0!</v>
      </c>
      <c r="Y87" s="37" t="e">
        <f t="shared" si="48"/>
        <v>#DIV/0!</v>
      </c>
      <c r="Z87" s="41" t="str">
        <f t="shared" si="49"/>
        <v/>
      </c>
    </row>
    <row r="88" spans="1:26">
      <c r="A88" s="53">
        <v>2.0351899999999999E-2</v>
      </c>
      <c r="B88" s="53">
        <v>-1.5173000000000001E-4</v>
      </c>
      <c r="C88" s="54">
        <v>3.61292E-5</v>
      </c>
      <c r="D88" s="58">
        <f>IF(CouplingMode="AC",B88-(A$11-A$10)*SUM(B$9:B88)/0.21,B88)</f>
        <v>-1.5173000000000001E-4</v>
      </c>
      <c r="E88" s="55">
        <f t="shared" si="37"/>
        <v>3.3203548823782306E-3</v>
      </c>
      <c r="F88" s="55">
        <f t="shared" si="38"/>
        <v>3.3203548823782306E-3</v>
      </c>
      <c r="G88" s="56">
        <f t="shared" si="39"/>
        <v>551319849383651.25</v>
      </c>
      <c r="H88" s="77">
        <f t="shared" si="40"/>
        <v>-4.9191931186728932E-6</v>
      </c>
      <c r="I88" s="56">
        <f t="shared" si="41"/>
        <v>100000</v>
      </c>
      <c r="J88" s="56" t="str">
        <f t="shared" si="42"/>
        <v/>
      </c>
      <c r="K88" s="56">
        <f t="shared" si="43"/>
        <v>100000</v>
      </c>
      <c r="L88" s="51">
        <f t="shared" si="51"/>
        <v>-1000000000000</v>
      </c>
      <c r="M88" s="46" t="str">
        <f t="shared" si="44"/>
        <v/>
      </c>
      <c r="N88" s="46" t="str">
        <f t="shared" si="45"/>
        <v/>
      </c>
      <c r="O88" s="51" t="e">
        <f t="shared" si="46"/>
        <v>#DIV/0!</v>
      </c>
      <c r="P88" s="56">
        <f t="shared" si="52"/>
        <v>9.6677092362240919E-12</v>
      </c>
      <c r="Q88" s="51" t="str">
        <f t="shared" si="53"/>
        <v/>
      </c>
      <c r="R88" s="40" t="str">
        <f t="shared" si="56"/>
        <v/>
      </c>
      <c r="S88" s="57">
        <f>IF(AND(E88&gt;0.95*BiasLight,E88&lt;1.05*BiasLight),"",IF(AugerModel="Sinton",calclifetimeauger(Auger_Coefficient,I88,P88),calclifetimerichter(SampleType,I88,SampleDoping,P88)))</f>
        <v>103437119959.40923</v>
      </c>
      <c r="T88" s="295" t="str">
        <f t="shared" si="55"/>
        <v/>
      </c>
      <c r="U88" s="57" t="e">
        <f t="shared" si="47"/>
        <v>#DIV/0!</v>
      </c>
      <c r="V88" s="40">
        <f>IF(AugerModel="Sinton","",IF(SampleType="n-type",n_intr_boltzmann(SampleDoping,0,K88,298.15),n_intr_boltzmann(0,SampleDoping,K88,298.15)))</f>
        <v>8310848067.6308546</v>
      </c>
      <c r="W88" s="40" t="str">
        <f t="shared" si="50"/>
        <v/>
      </c>
      <c r="X88" s="58" t="e">
        <f>IF(AND(A88&gt;TimeofMaxCD,I88&gt;Traps),IF(AugerModel="Sinton",CalcImpliedV(SampleDoping,O88),CalcImpliedVRichter(O88,SampleDoping,V88)),"")</f>
        <v>#DIV/0!</v>
      </c>
      <c r="Y88" s="37" t="e">
        <f t="shared" si="48"/>
        <v>#DIV/0!</v>
      </c>
      <c r="Z88" s="41" t="str">
        <f t="shared" si="49"/>
        <v/>
      </c>
    </row>
    <row r="89" spans="1:26">
      <c r="A89" s="53">
        <v>2.0607899999999998E-2</v>
      </c>
      <c r="B89" s="53">
        <v>-4.0311900000000001E-4</v>
      </c>
      <c r="C89" s="54">
        <v>2.5066600000000002E-5</v>
      </c>
      <c r="D89" s="58">
        <f>IF(CouplingMode="AC",B89-(A$11-A$10)*SUM(B$9:B89)/0.21,B89)</f>
        <v>-4.0311900000000001E-4</v>
      </c>
      <c r="E89" s="55">
        <f t="shared" si="37"/>
        <v>2.3036770173328544E-3</v>
      </c>
      <c r="F89" s="55">
        <f t="shared" si="38"/>
        <v>2.3036770173328544E-3</v>
      </c>
      <c r="G89" s="56">
        <f t="shared" si="39"/>
        <v>382508168920436.44</v>
      </c>
      <c r="H89" s="77">
        <f t="shared" si="40"/>
        <v>-1.3069374143581669E-5</v>
      </c>
      <c r="I89" s="56">
        <f t="shared" si="41"/>
        <v>100000</v>
      </c>
      <c r="J89" s="56" t="str">
        <f t="shared" si="42"/>
        <v/>
      </c>
      <c r="K89" s="56">
        <f t="shared" si="43"/>
        <v>100000</v>
      </c>
      <c r="L89" s="51">
        <f t="shared" si="51"/>
        <v>-1000000000000</v>
      </c>
      <c r="M89" s="46" t="str">
        <f t="shared" si="44"/>
        <v/>
      </c>
      <c r="N89" s="46" t="str">
        <f t="shared" si="45"/>
        <v/>
      </c>
      <c r="O89" s="51" t="e">
        <f t="shared" si="46"/>
        <v>#DIV/0!</v>
      </c>
      <c r="P89" s="56">
        <f t="shared" si="52"/>
        <v>1.393434293192485E-11</v>
      </c>
      <c r="Q89" s="51" t="str">
        <f t="shared" si="53"/>
        <v/>
      </c>
      <c r="R89" s="40" t="str">
        <f t="shared" si="56"/>
        <v/>
      </c>
      <c r="S89" s="57">
        <f>IF(AND(E89&gt;0.95*BiasLight,E89&lt;1.05*BiasLight),"",IF(AugerModel="Sinton",calclifetimeauger(Auger_Coefficient,I89,P89),calclifetimerichter(SampleType,I89,SampleDoping,P89)))</f>
        <v>71765134881.883011</v>
      </c>
      <c r="T89" s="295" t="str">
        <f t="shared" si="55"/>
        <v/>
      </c>
      <c r="U89" s="57" t="e">
        <f t="shared" si="47"/>
        <v>#DIV/0!</v>
      </c>
      <c r="V89" s="40">
        <f>IF(AugerModel="Sinton","",IF(SampleType="n-type",n_intr_boltzmann(SampleDoping,0,K89,298.15),n_intr_boltzmann(0,SampleDoping,K89,298.15)))</f>
        <v>8310848067.6308546</v>
      </c>
      <c r="W89" s="40" t="str">
        <f t="shared" si="50"/>
        <v/>
      </c>
      <c r="X89" s="58" t="e">
        <f>IF(AND(A89&gt;TimeofMaxCD,I89&gt;Traps),IF(AugerModel="Sinton",CalcImpliedV(SampleDoping,O89),CalcImpliedVRichter(O89,SampleDoping,V89)),"")</f>
        <v>#DIV/0!</v>
      </c>
      <c r="Y89" s="37" t="e">
        <f t="shared" si="48"/>
        <v>#DIV/0!</v>
      </c>
      <c r="Z89" s="41" t="str">
        <f t="shared" si="49"/>
        <v/>
      </c>
    </row>
    <row r="90" spans="1:26">
      <c r="A90" s="53">
        <v>2.0863900000000001E-2</v>
      </c>
      <c r="B90" s="53">
        <v>-5.9175500000000002E-4</v>
      </c>
      <c r="C90" s="54">
        <v>6.9467900000000003E-6</v>
      </c>
      <c r="D90" s="58">
        <f>IF(CouplingMode="AC",B90-(A$11-A$10)*SUM(B$9:B90)/0.21,B90)</f>
        <v>-5.9175500000000002E-4</v>
      </c>
      <c r="E90" s="55">
        <f t="shared" si="37"/>
        <v>6.3842565275058034E-4</v>
      </c>
      <c r="F90" s="55">
        <f t="shared" si="38"/>
        <v>6.3842565275058034E-4</v>
      </c>
      <c r="G90" s="56">
        <f t="shared" si="39"/>
        <v>106005757572817.95</v>
      </c>
      <c r="H90" s="77">
        <f t="shared" si="40"/>
        <v>-1.9185043571803839E-5</v>
      </c>
      <c r="I90" s="56">
        <f t="shared" si="41"/>
        <v>100000</v>
      </c>
      <c r="J90" s="56" t="str">
        <f t="shared" si="42"/>
        <v/>
      </c>
      <c r="K90" s="56">
        <f t="shared" si="43"/>
        <v>100000</v>
      </c>
      <c r="L90" s="51">
        <f t="shared" si="51"/>
        <v>-1000000000000</v>
      </c>
      <c r="M90" s="46" t="str">
        <f t="shared" si="44"/>
        <v/>
      </c>
      <c r="N90" s="46" t="str">
        <f t="shared" si="45"/>
        <v/>
      </c>
      <c r="O90" s="51" t="e">
        <f t="shared" si="46"/>
        <v>#DIV/0!</v>
      </c>
      <c r="P90" s="56">
        <f t="shared" si="52"/>
        <v>5.0280287807373977E-11</v>
      </c>
      <c r="Q90" s="51" t="str">
        <f t="shared" si="53"/>
        <v/>
      </c>
      <c r="R90" s="40" t="str">
        <f t="shared" si="56"/>
        <v/>
      </c>
      <c r="S90" s="57">
        <f>IF(AND(E90&gt;0.95*BiasLight,E90&lt;1.05*BiasLight),"",IF(AugerModel="Sinton",calclifetimeauger(Auger_Coefficient,I90,P90),calclifetimerichter(SampleType,I90,SampleDoping,P90)))</f>
        <v>19888509863.568096</v>
      </c>
      <c r="T90" s="295" t="str">
        <f t="shared" si="55"/>
        <v/>
      </c>
      <c r="U90" s="57" t="e">
        <f t="shared" si="47"/>
        <v>#DIV/0!</v>
      </c>
      <c r="V90" s="40">
        <f>IF(AugerModel="Sinton","",IF(SampleType="n-type",n_intr_boltzmann(SampleDoping,0,K90,298.15),n_intr_boltzmann(0,SampleDoping,K90,298.15)))</f>
        <v>8310848067.6308546</v>
      </c>
      <c r="W90" s="40" t="str">
        <f t="shared" si="50"/>
        <v/>
      </c>
      <c r="X90" s="58" t="e">
        <f>IF(AND(A90&gt;TimeofMaxCD,I90&gt;Traps),IF(AugerModel="Sinton",CalcImpliedV(SampleDoping,O90),CalcImpliedVRichter(O90,SampleDoping,V90)),"")</f>
        <v>#DIV/0!</v>
      </c>
      <c r="Y90" s="37" t="e">
        <f t="shared" si="48"/>
        <v>#DIV/0!</v>
      </c>
      <c r="Z90" s="41" t="str">
        <f t="shared" si="49"/>
        <v/>
      </c>
    </row>
    <row r="91" spans="1:26">
      <c r="A91" s="53">
        <v>2.11199E-2</v>
      </c>
      <c r="B91" s="53">
        <v>-3.3273800000000001E-4</v>
      </c>
      <c r="C91" s="54">
        <v>-1.4034E-5</v>
      </c>
      <c r="D91" s="58">
        <f>IF(CouplingMode="AC",B91-(A$11-A$10)*SUM(B$9:B91)/0.21,B91)</f>
        <v>-3.3273800000000001E-4</v>
      </c>
      <c r="E91" s="55">
        <f t="shared" si="37"/>
        <v>1.0000000000000001E-5</v>
      </c>
      <c r="F91" s="55">
        <f t="shared" si="38"/>
        <v>1.0000000000000001E-5</v>
      </c>
      <c r="G91" s="56">
        <f t="shared" si="39"/>
        <v>1660424469413.2334</v>
      </c>
      <c r="H91" s="77">
        <f t="shared" si="40"/>
        <v>-1.078758360145704E-5</v>
      </c>
      <c r="I91" s="56">
        <f t="shared" si="41"/>
        <v>100000</v>
      </c>
      <c r="J91" s="56" t="str">
        <f t="shared" si="42"/>
        <v/>
      </c>
      <c r="K91" s="56">
        <f t="shared" si="43"/>
        <v>100000</v>
      </c>
      <c r="L91" s="51">
        <f t="shared" si="51"/>
        <v>-1000000000000</v>
      </c>
      <c r="M91" s="46" t="str">
        <f t="shared" si="44"/>
        <v/>
      </c>
      <c r="N91" s="46" t="str">
        <f t="shared" si="45"/>
        <v/>
      </c>
      <c r="O91" s="51" t="e">
        <f t="shared" si="46"/>
        <v>#DIV/0!</v>
      </c>
      <c r="P91" s="56">
        <f t="shared" si="52"/>
        <v>3.2100225563909774E-9</v>
      </c>
      <c r="Q91" s="51" t="str">
        <f t="shared" si="53"/>
        <v/>
      </c>
      <c r="R91" s="40" t="str">
        <f t="shared" si="56"/>
        <v/>
      </c>
      <c r="S91" s="57">
        <f>IF(AND(E91&gt;0.95*BiasLight,E91&lt;1.05*BiasLight),"",IF(AugerModel="Sinton",calclifetimeauger(Auger_Coefficient,I91,P91),calclifetimerichter(SampleType,I91,SampleDoping,P91)))</f>
        <v>311524290.69666672</v>
      </c>
      <c r="T91" s="295" t="str">
        <f t="shared" si="55"/>
        <v/>
      </c>
      <c r="U91" s="57" t="e">
        <f t="shared" si="47"/>
        <v>#DIV/0!</v>
      </c>
      <c r="V91" s="40">
        <f>IF(AugerModel="Sinton","",IF(SampleType="n-type",n_intr_boltzmann(SampleDoping,0,K91,298.15),n_intr_boltzmann(0,SampleDoping,K91,298.15)))</f>
        <v>8310848067.6308546</v>
      </c>
      <c r="W91" s="40" t="str">
        <f t="shared" si="50"/>
        <v/>
      </c>
      <c r="X91" s="58" t="e">
        <f>IF(AND(A91&gt;TimeofMaxCD,I91&gt;Traps),IF(AugerModel="Sinton",CalcImpliedV(SampleDoping,O91),CalcImpliedVRichter(O91,SampleDoping,V91)),"")</f>
        <v>#DIV/0!</v>
      </c>
      <c r="Y91" s="37" t="e">
        <f t="shared" si="48"/>
        <v>#DIV/0!</v>
      </c>
      <c r="Z91" s="41" t="str">
        <f t="shared" si="49"/>
        <v/>
      </c>
    </row>
    <row r="92" spans="1:26">
      <c r="A92" s="53">
        <v>2.13759E-2</v>
      </c>
      <c r="B92" s="53">
        <v>-5.2461700000000001E-4</v>
      </c>
      <c r="C92" s="54">
        <v>-1.21267E-5</v>
      </c>
      <c r="D92" s="58">
        <f>IF(CouplingMode="AC",B92-(A$11-A$10)*SUM(B$9:B92)/0.21,B92)</f>
        <v>-5.2461700000000001E-4</v>
      </c>
      <c r="E92" s="55">
        <f t="shared" si="37"/>
        <v>1.0000000000000001E-5</v>
      </c>
      <c r="F92" s="55">
        <f t="shared" si="38"/>
        <v>1.0000000000000001E-5</v>
      </c>
      <c r="G92" s="56">
        <f t="shared" si="39"/>
        <v>1660424469413.2334</v>
      </c>
      <c r="H92" s="77">
        <f t="shared" si="40"/>
        <v>-1.7008399630133453E-5</v>
      </c>
      <c r="I92" s="56">
        <f t="shared" si="41"/>
        <v>100000</v>
      </c>
      <c r="J92" s="56" t="str">
        <f t="shared" si="42"/>
        <v/>
      </c>
      <c r="K92" s="56">
        <f t="shared" si="43"/>
        <v>100000</v>
      </c>
      <c r="L92" s="51">
        <f t="shared" si="51"/>
        <v>-1000000000000</v>
      </c>
      <c r="M92" s="46" t="str">
        <f t="shared" si="44"/>
        <v/>
      </c>
      <c r="N92" s="46" t="str">
        <f t="shared" si="45"/>
        <v/>
      </c>
      <c r="O92" s="51" t="e">
        <f t="shared" si="46"/>
        <v>#DIV/0!</v>
      </c>
      <c r="P92" s="56">
        <f t="shared" si="52"/>
        <v>3.2100225563909774E-9</v>
      </c>
      <c r="Q92" s="51" t="str">
        <f t="shared" si="53"/>
        <v/>
      </c>
      <c r="R92" s="40" t="str">
        <f t="shared" si="56"/>
        <v/>
      </c>
      <c r="S92" s="57">
        <f>IF(AND(E92&gt;0.95*BiasLight,E92&lt;1.05*BiasLight),"",IF(AugerModel="Sinton",calclifetimeauger(Auger_Coefficient,I92,P92),calclifetimerichter(SampleType,I92,SampleDoping,P92)))</f>
        <v>311524290.69666672</v>
      </c>
      <c r="T92" s="295" t="str">
        <f t="shared" si="55"/>
        <v/>
      </c>
      <c r="U92" s="57" t="e">
        <f t="shared" si="47"/>
        <v>#DIV/0!</v>
      </c>
      <c r="V92" s="40">
        <f>IF(AugerModel="Sinton","",IF(SampleType="n-type",n_intr_boltzmann(SampleDoping,0,K92,298.15),n_intr_boltzmann(0,SampleDoping,K92,298.15)))</f>
        <v>8310848067.6308546</v>
      </c>
      <c r="W92" s="40" t="str">
        <f t="shared" si="50"/>
        <v/>
      </c>
      <c r="X92" s="58" t="e">
        <f>IF(AND(A92&gt;TimeofMaxCD,I92&gt;Traps),IF(AugerModel="Sinton",CalcImpliedV(SampleDoping,O92),CalcImpliedVRichter(O92,SampleDoping,V92)),"")</f>
        <v>#DIV/0!</v>
      </c>
      <c r="Y92" s="37" t="e">
        <f t="shared" si="48"/>
        <v>#DIV/0!</v>
      </c>
      <c r="Z92" s="41" t="str">
        <f t="shared" si="49"/>
        <v/>
      </c>
    </row>
    <row r="93" spans="1:26">
      <c r="A93" s="53">
        <v>2.1631899999999999E-2</v>
      </c>
      <c r="B93" s="53">
        <v>-3.5143000000000001E-4</v>
      </c>
      <c r="C93" s="54">
        <v>1.8581599999999998E-5</v>
      </c>
      <c r="D93" s="58">
        <f>IF(CouplingMode="AC",B93-(A$11-A$10)*SUM(B$9:B93)/0.21,B93)</f>
        <v>-3.5143000000000001E-4</v>
      </c>
      <c r="E93" s="55">
        <f t="shared" si="37"/>
        <v>1.7076909060372032E-3</v>
      </c>
      <c r="F93" s="55">
        <f t="shared" si="38"/>
        <v>1.7076909060372032E-3</v>
      </c>
      <c r="G93" s="56">
        <f t="shared" si="39"/>
        <v>283549176657862.69</v>
      </c>
      <c r="H93" s="77">
        <f t="shared" si="40"/>
        <v>-1.1393588728141057E-5</v>
      </c>
      <c r="I93" s="56">
        <f t="shared" si="41"/>
        <v>100000</v>
      </c>
      <c r="J93" s="56" t="str">
        <f t="shared" si="42"/>
        <v/>
      </c>
      <c r="K93" s="56">
        <f t="shared" si="43"/>
        <v>100000</v>
      </c>
      <c r="L93" s="51">
        <f t="shared" si="51"/>
        <v>-1000000000000</v>
      </c>
      <c r="M93" s="46" t="str">
        <f t="shared" si="44"/>
        <v/>
      </c>
      <c r="N93" s="46" t="str">
        <f t="shared" si="45"/>
        <v/>
      </c>
      <c r="O93" s="51" t="e">
        <f t="shared" si="46"/>
        <v>#DIV/0!</v>
      </c>
      <c r="P93" s="56">
        <f t="shared" si="52"/>
        <v>1.8797444813007894E-11</v>
      </c>
      <c r="Q93" s="51" t="str">
        <f t="shared" si="53"/>
        <v/>
      </c>
      <c r="R93" s="40" t="str">
        <f t="shared" si="56"/>
        <v/>
      </c>
      <c r="S93" s="57">
        <f>IF(AND(E93&gt;0.95*BiasLight,E93&lt;1.05*BiasLight),"",IF(AugerModel="Sinton",calclifetimeauger(Auger_Coefficient,I93,P93),calclifetimerichter(SampleType,I93,SampleDoping,P93)))</f>
        <v>53198719823.238777</v>
      </c>
      <c r="T93" s="295" t="str">
        <f t="shared" si="55"/>
        <v/>
      </c>
      <c r="U93" s="57" t="e">
        <f t="shared" si="47"/>
        <v>#DIV/0!</v>
      </c>
      <c r="V93" s="40">
        <f>IF(AugerModel="Sinton","",IF(SampleType="n-type",n_intr_boltzmann(SampleDoping,0,K93,298.15),n_intr_boltzmann(0,SampleDoping,K93,298.15)))</f>
        <v>8310848067.6308546</v>
      </c>
      <c r="W93" s="40" t="str">
        <f t="shared" si="50"/>
        <v/>
      </c>
      <c r="X93" s="58" t="e">
        <f>IF(AND(A93&gt;TimeofMaxCD,I93&gt;Traps),IF(AugerModel="Sinton",CalcImpliedV(SampleDoping,O93),CalcImpliedVRichter(O93,SampleDoping,V93)),"")</f>
        <v>#DIV/0!</v>
      </c>
      <c r="Y93" s="37" t="e">
        <f t="shared" si="48"/>
        <v>#DIV/0!</v>
      </c>
      <c r="Z93" s="41" t="str">
        <f t="shared" si="49"/>
        <v/>
      </c>
    </row>
    <row r="94" spans="1:26">
      <c r="A94" s="53">
        <v>2.1887899999999998E-2</v>
      </c>
      <c r="B94" s="53">
        <v>-3.33691E-4</v>
      </c>
      <c r="C94" s="54">
        <v>-6.4046499999999997E-6</v>
      </c>
      <c r="D94" s="58">
        <f>IF(CouplingMode="AC",B94-(A$11-A$10)*SUM(B$9:B94)/0.21,B94)</f>
        <v>-3.33691E-4</v>
      </c>
      <c r="E94" s="55">
        <f t="shared" si="37"/>
        <v>1.0000000000000001E-5</v>
      </c>
      <c r="F94" s="55">
        <f t="shared" si="38"/>
        <v>1.0000000000000001E-5</v>
      </c>
      <c r="G94" s="56">
        <f t="shared" si="39"/>
        <v>1660424469413.2334</v>
      </c>
      <c r="H94" s="77">
        <f t="shared" si="40"/>
        <v>-1.0818480400583141E-5</v>
      </c>
      <c r="I94" s="56">
        <f t="shared" si="41"/>
        <v>100000</v>
      </c>
      <c r="J94" s="56" t="str">
        <f t="shared" si="42"/>
        <v/>
      </c>
      <c r="K94" s="56">
        <f t="shared" si="43"/>
        <v>100000</v>
      </c>
      <c r="L94" s="51">
        <f t="shared" si="51"/>
        <v>-1000000000000</v>
      </c>
      <c r="M94" s="46" t="str">
        <f t="shared" si="44"/>
        <v/>
      </c>
      <c r="N94" s="46" t="str">
        <f t="shared" si="45"/>
        <v/>
      </c>
      <c r="O94" s="51" t="e">
        <f t="shared" si="46"/>
        <v>#DIV/0!</v>
      </c>
      <c r="P94" s="56">
        <f t="shared" si="52"/>
        <v>3.2100225563909774E-9</v>
      </c>
      <c r="Q94" s="51" t="str">
        <f t="shared" si="53"/>
        <v/>
      </c>
      <c r="R94" s="40" t="str">
        <f t="shared" si="56"/>
        <v/>
      </c>
      <c r="S94" s="57">
        <f>IF(AND(E94&gt;0.95*BiasLight,E94&lt;1.05*BiasLight),"",IF(AugerModel="Sinton",calclifetimeauger(Auger_Coefficient,I94,P94),calclifetimerichter(SampleType,I94,SampleDoping,P94)))</f>
        <v>311524290.69666672</v>
      </c>
      <c r="T94" s="295" t="str">
        <f t="shared" si="55"/>
        <v/>
      </c>
      <c r="U94" s="57" t="e">
        <f t="shared" si="47"/>
        <v>#DIV/0!</v>
      </c>
      <c r="V94" s="40">
        <f>IF(AugerModel="Sinton","",IF(SampleType="n-type",n_intr_boltzmann(SampleDoping,0,K94,298.15),n_intr_boltzmann(0,SampleDoping,K94,298.15)))</f>
        <v>8310848067.6308546</v>
      </c>
      <c r="W94" s="40" t="str">
        <f t="shared" si="50"/>
        <v/>
      </c>
      <c r="X94" s="58" t="e">
        <f>IF(AND(A94&gt;TimeofMaxCD,I94&gt;Traps),IF(AugerModel="Sinton",CalcImpliedV(SampleDoping,O94),CalcImpliedVRichter(O94,SampleDoping,V94)),"")</f>
        <v>#DIV/0!</v>
      </c>
      <c r="Y94" s="37" t="e">
        <f t="shared" si="48"/>
        <v>#DIV/0!</v>
      </c>
      <c r="Z94" s="41" t="str">
        <f t="shared" si="49"/>
        <v/>
      </c>
    </row>
    <row r="95" spans="1:26">
      <c r="A95" s="53">
        <v>2.2143900000000001E-2</v>
      </c>
      <c r="B95" s="53">
        <v>-3.58487E-4</v>
      </c>
      <c r="C95" s="54">
        <v>-1.7467300000000001E-5</v>
      </c>
      <c r="D95" s="58">
        <f>IF(CouplingMode="AC",B95-(A$11-A$10)*SUM(B$9:B95)/0.21,B95)</f>
        <v>-3.58487E-4</v>
      </c>
      <c r="E95" s="55">
        <f t="shared" si="37"/>
        <v>1.0000000000000001E-5</v>
      </c>
      <c r="F95" s="55">
        <f t="shared" si="38"/>
        <v>1.0000000000000001E-5</v>
      </c>
      <c r="G95" s="56">
        <f t="shared" si="39"/>
        <v>1660424469413.2334</v>
      </c>
      <c r="H95" s="77">
        <f t="shared" si="40"/>
        <v>-1.162238057917514E-5</v>
      </c>
      <c r="I95" s="56">
        <f t="shared" si="41"/>
        <v>100000</v>
      </c>
      <c r="J95" s="56" t="str">
        <f t="shared" si="42"/>
        <v/>
      </c>
      <c r="K95" s="56">
        <f t="shared" si="43"/>
        <v>100000</v>
      </c>
      <c r="L95" s="51">
        <f t="shared" si="51"/>
        <v>-1000000000000</v>
      </c>
      <c r="M95" s="46" t="str">
        <f t="shared" si="44"/>
        <v/>
      </c>
      <c r="N95" s="46" t="str">
        <f t="shared" si="45"/>
        <v/>
      </c>
      <c r="O95" s="51" t="e">
        <f t="shared" si="46"/>
        <v>#DIV/0!</v>
      </c>
      <c r="P95" s="56">
        <f t="shared" si="52"/>
        <v>3.2100225563909774E-9</v>
      </c>
      <c r="Q95" s="51" t="str">
        <f t="shared" si="53"/>
        <v/>
      </c>
      <c r="R95" s="40" t="str">
        <f t="shared" si="56"/>
        <v/>
      </c>
      <c r="S95" s="57">
        <f>IF(AND(E95&gt;0.95*BiasLight,E95&lt;1.05*BiasLight),"",IF(AugerModel="Sinton",calclifetimeauger(Auger_Coefficient,I95,P95),calclifetimerichter(SampleType,I95,SampleDoping,P95)))</f>
        <v>311524290.69666672</v>
      </c>
      <c r="T95" s="295" t="str">
        <f t="shared" si="55"/>
        <v/>
      </c>
      <c r="U95" s="57" t="e">
        <f t="shared" si="47"/>
        <v>#DIV/0!</v>
      </c>
      <c r="V95" s="40">
        <f>IF(AugerModel="Sinton","",IF(SampleType="n-type",n_intr_boltzmann(SampleDoping,0,K95,298.15),n_intr_boltzmann(0,SampleDoping,K95,298.15)))</f>
        <v>8310848067.6308546</v>
      </c>
      <c r="W95" s="40" t="str">
        <f t="shared" si="50"/>
        <v/>
      </c>
      <c r="X95" s="58" t="e">
        <f>IF(AND(A95&gt;TimeofMaxCD,I95&gt;Traps),IF(AugerModel="Sinton",CalcImpliedV(SampleDoping,O95),CalcImpliedVRichter(O95,SampleDoping,V95)),"")</f>
        <v>#DIV/0!</v>
      </c>
      <c r="Y95" s="37" t="e">
        <f t="shared" si="48"/>
        <v>#DIV/0!</v>
      </c>
      <c r="Z95" s="41" t="str">
        <f t="shared" si="49"/>
        <v/>
      </c>
    </row>
    <row r="96" spans="1:26">
      <c r="A96" s="53">
        <v>2.23999E-2</v>
      </c>
      <c r="B96" s="53">
        <v>-3.6287400000000001E-4</v>
      </c>
      <c r="C96" s="54">
        <v>-5.6758700000000003E-5</v>
      </c>
      <c r="D96" s="58">
        <f>IF(CouplingMode="AC",B96-(A$11-A$10)*SUM(B$9:B96)/0.21,B96)</f>
        <v>-3.6287400000000001E-4</v>
      </c>
      <c r="E96" s="55">
        <f t="shared" si="37"/>
        <v>1.0000000000000001E-5</v>
      </c>
      <c r="F96" s="55">
        <f t="shared" si="38"/>
        <v>1.0000000000000001E-5</v>
      </c>
      <c r="G96" s="56">
        <f t="shared" si="39"/>
        <v>1660424469413.2334</v>
      </c>
      <c r="H96" s="77">
        <f t="shared" si="40"/>
        <v>-1.1764609537182058E-5</v>
      </c>
      <c r="I96" s="56">
        <f t="shared" si="41"/>
        <v>100000</v>
      </c>
      <c r="J96" s="56" t="str">
        <f t="shared" si="42"/>
        <v/>
      </c>
      <c r="K96" s="56">
        <f t="shared" si="43"/>
        <v>100000</v>
      </c>
      <c r="L96" s="51">
        <f t="shared" si="51"/>
        <v>-1000000000000</v>
      </c>
      <c r="M96" s="46" t="str">
        <f t="shared" si="44"/>
        <v/>
      </c>
      <c r="N96" s="46" t="str">
        <f t="shared" si="45"/>
        <v/>
      </c>
      <c r="O96" s="51" t="e">
        <f t="shared" si="46"/>
        <v>#DIV/0!</v>
      </c>
      <c r="P96" s="56">
        <f t="shared" si="52"/>
        <v>3.2100225563909774E-9</v>
      </c>
      <c r="Q96" s="51" t="str">
        <f t="shared" si="53"/>
        <v/>
      </c>
      <c r="R96" s="40" t="str">
        <f t="shared" si="56"/>
        <v/>
      </c>
      <c r="S96" s="57">
        <f>IF(AND(E96&gt;0.95*BiasLight,E96&lt;1.05*BiasLight),"",IF(AugerModel="Sinton",calclifetimeauger(Auger_Coefficient,I96,P96),calclifetimerichter(SampleType,I96,SampleDoping,P96)))</f>
        <v>311524290.69666672</v>
      </c>
      <c r="T96" s="295" t="str">
        <f t="shared" si="55"/>
        <v/>
      </c>
      <c r="U96" s="57" t="e">
        <f t="shared" si="47"/>
        <v>#DIV/0!</v>
      </c>
      <c r="V96" s="40">
        <f>IF(AugerModel="Sinton","",IF(SampleType="n-type",n_intr_boltzmann(SampleDoping,0,K96,298.15),n_intr_boltzmann(0,SampleDoping,K96,298.15)))</f>
        <v>8310848067.6308546</v>
      </c>
      <c r="W96" s="40" t="str">
        <f t="shared" si="50"/>
        <v/>
      </c>
      <c r="X96" s="58" t="e">
        <f>IF(AND(A96&gt;TimeofMaxCD,I96&gt;Traps),IF(AugerModel="Sinton",CalcImpliedV(SampleDoping,O96),CalcImpliedVRichter(O96,SampleDoping,V96)),"")</f>
        <v>#DIV/0!</v>
      </c>
      <c r="Y96" s="37" t="e">
        <f t="shared" si="48"/>
        <v>#DIV/0!</v>
      </c>
      <c r="Z96" s="41" t="str">
        <f t="shared" si="49"/>
        <v/>
      </c>
    </row>
    <row r="97" spans="1:26">
      <c r="A97" s="53">
        <v>2.26559E-2</v>
      </c>
      <c r="B97" s="53">
        <v>-4.3363599999999999E-4</v>
      </c>
      <c r="C97" s="54">
        <v>-4.3025699999999997E-5</v>
      </c>
      <c r="D97" s="58">
        <f>IF(CouplingMode="AC",B97-(A$11-A$10)*SUM(B$9:B97)/0.21,B97)</f>
        <v>-4.3363599999999999E-4</v>
      </c>
      <c r="E97" s="55">
        <f t="shared" si="37"/>
        <v>1.0000000000000001E-5</v>
      </c>
      <c r="F97" s="55">
        <f t="shared" si="38"/>
        <v>1.0000000000000001E-5</v>
      </c>
      <c r="G97" s="56">
        <f t="shared" si="39"/>
        <v>1660424469413.2334</v>
      </c>
      <c r="H97" s="77">
        <f t="shared" si="40"/>
        <v>-1.4058751171254491E-5</v>
      </c>
      <c r="I97" s="56">
        <f t="shared" si="41"/>
        <v>100000</v>
      </c>
      <c r="J97" s="56" t="str">
        <f t="shared" si="42"/>
        <v/>
      </c>
      <c r="K97" s="56">
        <f t="shared" si="43"/>
        <v>100000</v>
      </c>
      <c r="L97" s="51">
        <f t="shared" si="51"/>
        <v>-1000000000000</v>
      </c>
      <c r="M97" s="46" t="str">
        <f t="shared" si="44"/>
        <v/>
      </c>
      <c r="N97" s="46" t="str">
        <f t="shared" si="45"/>
        <v/>
      </c>
      <c r="O97" s="51" t="e">
        <f t="shared" si="46"/>
        <v>#DIV/0!</v>
      </c>
      <c r="P97" s="56">
        <f t="shared" si="52"/>
        <v>3.2100225563909774E-9</v>
      </c>
      <c r="Q97" s="51" t="str">
        <f t="shared" si="53"/>
        <v/>
      </c>
      <c r="R97" s="40" t="str">
        <f t="shared" si="56"/>
        <v/>
      </c>
      <c r="S97" s="57">
        <f>IF(AND(E97&gt;0.95*BiasLight,E97&lt;1.05*BiasLight),"",IF(AugerModel="Sinton",calclifetimeauger(Auger_Coefficient,I97,P97),calclifetimerichter(SampleType,I97,SampleDoping,P97)))</f>
        <v>311524290.69666672</v>
      </c>
      <c r="T97" s="295" t="str">
        <f t="shared" si="55"/>
        <v/>
      </c>
      <c r="U97" s="57" t="e">
        <f t="shared" si="47"/>
        <v>#DIV/0!</v>
      </c>
      <c r="V97" s="40">
        <f>IF(AugerModel="Sinton","",IF(SampleType="n-type",n_intr_boltzmann(SampleDoping,0,K97,298.15),n_intr_boltzmann(0,SampleDoping,K97,298.15)))</f>
        <v>8310848067.6308546</v>
      </c>
      <c r="W97" s="40" t="str">
        <f t="shared" si="50"/>
        <v/>
      </c>
      <c r="X97" s="58" t="e">
        <f>IF(AND(A97&gt;TimeofMaxCD,I97&gt;Traps),IF(AugerModel="Sinton",CalcImpliedV(SampleDoping,O97),CalcImpliedVRichter(O97,SampleDoping,V97)),"")</f>
        <v>#DIV/0!</v>
      </c>
      <c r="Y97" s="37" t="e">
        <f t="shared" si="48"/>
        <v>#DIV/0!</v>
      </c>
      <c r="Z97" s="41" t="str">
        <f t="shared" si="49"/>
        <v/>
      </c>
    </row>
    <row r="98" spans="1:26">
      <c r="A98" s="53">
        <v>2.2911899999999999E-2</v>
      </c>
      <c r="B98" s="53">
        <v>-3.5085699999999999E-4</v>
      </c>
      <c r="C98" s="54">
        <v>6.1687700000000002E-5</v>
      </c>
      <c r="D98" s="58">
        <f>IF(CouplingMode="AC",B98-(A$11-A$10)*SUM(B$9:B98)/0.21,B98)</f>
        <v>-3.5085699999999999E-4</v>
      </c>
      <c r="E98" s="55">
        <f t="shared" si="37"/>
        <v>5.6692386180065869E-3</v>
      </c>
      <c r="F98" s="55">
        <f t="shared" si="38"/>
        <v>5.6692386180065869E-3</v>
      </c>
      <c r="G98" s="56">
        <f t="shared" si="39"/>
        <v>941334252428059.87</v>
      </c>
      <c r="H98" s="77">
        <f t="shared" si="40"/>
        <v>-1.1375011749421848E-5</v>
      </c>
      <c r="I98" s="56">
        <f t="shared" si="41"/>
        <v>100000</v>
      </c>
      <c r="J98" s="56" t="str">
        <f t="shared" si="42"/>
        <v/>
      </c>
      <c r="K98" s="56">
        <f t="shared" si="43"/>
        <v>100000</v>
      </c>
      <c r="L98" s="51">
        <f t="shared" si="51"/>
        <v>-1000000000000</v>
      </c>
      <c r="M98" s="46" t="str">
        <f t="shared" si="44"/>
        <v/>
      </c>
      <c r="N98" s="46" t="str">
        <f t="shared" si="45"/>
        <v/>
      </c>
      <c r="O98" s="51" t="e">
        <f t="shared" si="46"/>
        <v>#DIV/0!</v>
      </c>
      <c r="P98" s="56">
        <f t="shared" si="52"/>
        <v>5.6621757747069103E-12</v>
      </c>
      <c r="Q98" s="51" t="str">
        <f t="shared" si="53"/>
        <v/>
      </c>
      <c r="R98" s="40" t="str">
        <f t="shared" si="56"/>
        <v/>
      </c>
      <c r="S98" s="57">
        <f>IF(AND(E98&gt;0.95*BiasLight,E98&lt;1.05*BiasLight),"",IF(AugerModel="Sinton",calclifetimeauger(Auger_Coefficient,I98,P98),calclifetimerichter(SampleType,I98,SampleDoping,P98)))</f>
        <v>176610553926.46527</v>
      </c>
      <c r="T98" s="295" t="str">
        <f t="shared" si="55"/>
        <v/>
      </c>
      <c r="U98" s="57" t="e">
        <f t="shared" si="47"/>
        <v>#DIV/0!</v>
      </c>
      <c r="V98" s="40">
        <f>IF(AugerModel="Sinton","",IF(SampleType="n-type",n_intr_boltzmann(SampleDoping,0,K98,298.15),n_intr_boltzmann(0,SampleDoping,K98,298.15)))</f>
        <v>8310848067.6308546</v>
      </c>
      <c r="W98" s="40" t="str">
        <f t="shared" si="50"/>
        <v/>
      </c>
      <c r="X98" s="58" t="e">
        <f>IF(AND(A98&gt;TimeofMaxCD,I98&gt;Traps),IF(AugerModel="Sinton",CalcImpliedV(SampleDoping,O98),CalcImpliedVRichter(O98,SampleDoping,V98)),"")</f>
        <v>#DIV/0!</v>
      </c>
      <c r="Y98" s="37" t="e">
        <f t="shared" si="48"/>
        <v>#DIV/0!</v>
      </c>
      <c r="Z98" s="41" t="str">
        <f t="shared" si="49"/>
        <v/>
      </c>
    </row>
    <row r="99" spans="1:26">
      <c r="A99" s="53">
        <v>2.3167900000000002E-2</v>
      </c>
      <c r="B99" s="53">
        <v>-1.8892299999999999E-4</v>
      </c>
      <c r="C99" s="54">
        <v>-1.0219300000000001E-5</v>
      </c>
      <c r="D99" s="58">
        <f>IF(CouplingMode="AC",B99-(A$11-A$10)*SUM(B$9:B99)/0.21,B99)</f>
        <v>-1.8892299999999999E-4</v>
      </c>
      <c r="E99" s="55">
        <f t="shared" si="37"/>
        <v>1.0000000000000001E-5</v>
      </c>
      <c r="F99" s="55">
        <f t="shared" si="38"/>
        <v>1.0000000000000001E-5</v>
      </c>
      <c r="G99" s="56">
        <f t="shared" si="39"/>
        <v>1660424469413.2334</v>
      </c>
      <c r="H99" s="77">
        <f t="shared" si="40"/>
        <v>-6.1250144283847563E-6</v>
      </c>
      <c r="I99" s="56">
        <f t="shared" si="41"/>
        <v>100000</v>
      </c>
      <c r="J99" s="56" t="str">
        <f t="shared" si="42"/>
        <v/>
      </c>
      <c r="K99" s="56">
        <f t="shared" si="43"/>
        <v>100000</v>
      </c>
      <c r="L99" s="51">
        <f t="shared" si="51"/>
        <v>-1000000000000</v>
      </c>
      <c r="M99" s="46" t="str">
        <f t="shared" si="44"/>
        <v/>
      </c>
      <c r="N99" s="46" t="str">
        <f t="shared" si="45"/>
        <v/>
      </c>
      <c r="O99" s="51" t="e">
        <f t="shared" si="46"/>
        <v>#DIV/0!</v>
      </c>
      <c r="P99" s="56">
        <f t="shared" si="52"/>
        <v>3.2100225563909774E-9</v>
      </c>
      <c r="Q99" s="51" t="str">
        <f t="shared" si="53"/>
        <v/>
      </c>
      <c r="R99" s="40" t="str">
        <f t="shared" si="56"/>
        <v/>
      </c>
      <c r="S99" s="57">
        <f>IF(AND(E99&gt;0.95*BiasLight,E99&lt;1.05*BiasLight),"",IF(AugerModel="Sinton",calclifetimeauger(Auger_Coefficient,I99,P99),calclifetimerichter(SampleType,I99,SampleDoping,P99)))</f>
        <v>311524290.69666672</v>
      </c>
      <c r="T99" s="295" t="str">
        <f t="shared" si="55"/>
        <v/>
      </c>
      <c r="U99" s="57" t="e">
        <f t="shared" si="47"/>
        <v>#DIV/0!</v>
      </c>
      <c r="V99" s="40">
        <f>IF(AugerModel="Sinton","",IF(SampleType="n-type",n_intr_boltzmann(SampleDoping,0,K99,298.15),n_intr_boltzmann(0,SampleDoping,K99,298.15)))</f>
        <v>8310848067.6308546</v>
      </c>
      <c r="W99" s="40" t="str">
        <f t="shared" si="50"/>
        <v/>
      </c>
      <c r="X99" s="58" t="e">
        <f>IF(AND(A99&gt;TimeofMaxCD,I99&gt;Traps),IF(AugerModel="Sinton",CalcImpliedV(SampleDoping,O99),CalcImpliedVRichter(O99,SampleDoping,V99)),"")</f>
        <v>#DIV/0!</v>
      </c>
      <c r="Y99" s="37" t="e">
        <f t="shared" si="48"/>
        <v>#DIV/0!</v>
      </c>
      <c r="Z99" s="41" t="str">
        <f t="shared" si="49"/>
        <v/>
      </c>
    </row>
    <row r="100" spans="1:26">
      <c r="A100" s="53">
        <v>2.3423900000000001E-2</v>
      </c>
      <c r="B100" s="53">
        <v>-4.1627899999999998E-4</v>
      </c>
      <c r="C100" s="54">
        <v>-6.5953899999999997E-6</v>
      </c>
      <c r="D100" s="58">
        <f>IF(CouplingMode="AC",B100-(A$11-A$10)*SUM(B$9:B100)/0.21,B100)</f>
        <v>-4.1627899999999998E-4</v>
      </c>
      <c r="E100" s="55">
        <f t="shared" si="37"/>
        <v>1.0000000000000001E-5</v>
      </c>
      <c r="F100" s="55">
        <f t="shared" si="38"/>
        <v>1.0000000000000001E-5</v>
      </c>
      <c r="G100" s="56">
        <f t="shared" si="39"/>
        <v>1660424469413.2334</v>
      </c>
      <c r="H100" s="77">
        <f t="shared" si="40"/>
        <v>-1.3496028255392811E-5</v>
      </c>
      <c r="I100" s="56">
        <f t="shared" si="41"/>
        <v>100000</v>
      </c>
      <c r="J100" s="56" t="str">
        <f t="shared" si="42"/>
        <v/>
      </c>
      <c r="K100" s="56">
        <f t="shared" si="43"/>
        <v>100000</v>
      </c>
      <c r="L100" s="51">
        <f t="shared" si="51"/>
        <v>-1000000000000</v>
      </c>
      <c r="M100" s="46" t="str">
        <f t="shared" si="44"/>
        <v/>
      </c>
      <c r="N100" s="46" t="str">
        <f t="shared" si="45"/>
        <v/>
      </c>
      <c r="O100" s="51" t="e">
        <f t="shared" si="46"/>
        <v>#DIV/0!</v>
      </c>
      <c r="P100" s="56">
        <f t="shared" si="52"/>
        <v>3.2100225563909774E-9</v>
      </c>
      <c r="Q100" s="51" t="str">
        <f t="shared" si="53"/>
        <v/>
      </c>
      <c r="R100" s="40" t="str">
        <f t="shared" si="56"/>
        <v/>
      </c>
      <c r="S100" s="57">
        <f>IF(AND(E100&gt;0.95*BiasLight,E100&lt;1.05*BiasLight),"",IF(AugerModel="Sinton",calclifetimeauger(Auger_Coefficient,I100,P100),calclifetimerichter(SampleType,I100,SampleDoping,P100)))</f>
        <v>311524290.69666672</v>
      </c>
      <c r="T100" s="295" t="str">
        <f t="shared" si="55"/>
        <v/>
      </c>
      <c r="U100" s="57" t="e">
        <f t="shared" si="47"/>
        <v>#DIV/0!</v>
      </c>
      <c r="V100" s="40">
        <f>IF(AugerModel="Sinton","",IF(SampleType="n-type",n_intr_boltzmann(SampleDoping,0,K100,298.15),n_intr_boltzmann(0,SampleDoping,K100,298.15)))</f>
        <v>8310848067.6308546</v>
      </c>
      <c r="W100" s="40" t="str">
        <f t="shared" si="50"/>
        <v/>
      </c>
      <c r="X100" s="58" t="e">
        <f>IF(AND(A100&gt;TimeofMaxCD,I100&gt;Traps),IF(AugerModel="Sinton",CalcImpliedV(SampleDoping,O100),CalcImpliedVRichter(O100,SampleDoping,V100)),"")</f>
        <v>#DIV/0!</v>
      </c>
      <c r="Y100" s="37" t="e">
        <f t="shared" si="48"/>
        <v>#DIV/0!</v>
      </c>
      <c r="Z100" s="41" t="str">
        <f t="shared" si="49"/>
        <v/>
      </c>
    </row>
    <row r="101" spans="1:26">
      <c r="A101" s="53">
        <v>2.36799E-2</v>
      </c>
      <c r="B101" s="53">
        <v>-4.9886799999999997E-4</v>
      </c>
      <c r="C101" s="54">
        <v>2.44944E-5</v>
      </c>
      <c r="D101" s="58">
        <f>IF(CouplingMode="AC",B101-(A$11-A$10)*SUM(B$9:B101)/0.21,B101)</f>
        <v>-4.9886799999999997E-4</v>
      </c>
      <c r="E101" s="55">
        <f t="shared" si="37"/>
        <v>2.2510905481141386E-3</v>
      </c>
      <c r="F101" s="55">
        <f t="shared" si="38"/>
        <v>2.2510905481141386E-3</v>
      </c>
      <c r="G101" s="56">
        <f t="shared" si="39"/>
        <v>373776582895356.31</v>
      </c>
      <c r="H101" s="77">
        <f t="shared" si="40"/>
        <v>-1.6173604918068296E-5</v>
      </c>
      <c r="I101" s="56">
        <f t="shared" si="41"/>
        <v>100000</v>
      </c>
      <c r="J101" s="56" t="str">
        <f t="shared" si="42"/>
        <v/>
      </c>
      <c r="K101" s="56">
        <f t="shared" si="43"/>
        <v>100000</v>
      </c>
      <c r="L101" s="51">
        <f t="shared" si="51"/>
        <v>-1000000000000</v>
      </c>
      <c r="M101" s="46" t="str">
        <f t="shared" si="44"/>
        <v/>
      </c>
      <c r="N101" s="46" t="str">
        <f t="shared" si="45"/>
        <v/>
      </c>
      <c r="O101" s="51" t="e">
        <f t="shared" si="46"/>
        <v>#DIV/0!</v>
      </c>
      <c r="P101" s="56">
        <f t="shared" si="52"/>
        <v>1.4259855335806855E-11</v>
      </c>
      <c r="Q101" s="51" t="str">
        <f t="shared" si="53"/>
        <v/>
      </c>
      <c r="R101" s="40" t="str">
        <f t="shared" si="56"/>
        <v/>
      </c>
      <c r="S101" s="57">
        <f>IF(AND(E101&gt;0.95*BiasLight,E101&lt;1.05*BiasLight),"",IF(AugerModel="Sinton",calclifetimeauger(Auger_Coefficient,I101,P101),calclifetimerichter(SampleType,I101,SampleDoping,P101)))</f>
        <v>70126938629.522766</v>
      </c>
      <c r="T101" s="295" t="str">
        <f t="shared" si="55"/>
        <v/>
      </c>
      <c r="U101" s="57" t="e">
        <f t="shared" si="47"/>
        <v>#DIV/0!</v>
      </c>
      <c r="V101" s="40">
        <f>IF(AugerModel="Sinton","",IF(SampleType="n-type",n_intr_boltzmann(SampleDoping,0,K101,298.15),n_intr_boltzmann(0,SampleDoping,K101,298.15)))</f>
        <v>8310848067.6308546</v>
      </c>
      <c r="W101" s="40" t="str">
        <f t="shared" si="50"/>
        <v/>
      </c>
      <c r="X101" s="58" t="e">
        <f>IF(AND(A101&gt;TimeofMaxCD,I101&gt;Traps),IF(AugerModel="Sinton",CalcImpliedV(SampleDoping,O101),CalcImpliedVRichter(O101,SampleDoping,V101)),"")</f>
        <v>#DIV/0!</v>
      </c>
      <c r="Y101" s="37" t="e">
        <f t="shared" si="48"/>
        <v>#DIV/0!</v>
      </c>
      <c r="Z101" s="41" t="str">
        <f t="shared" si="49"/>
        <v/>
      </c>
    </row>
    <row r="102" spans="1:26">
      <c r="A102" s="53">
        <v>2.39359E-2</v>
      </c>
      <c r="B102" s="53">
        <v>-1.9445500000000001E-4</v>
      </c>
      <c r="C102" s="54">
        <v>9.4263399999999993E-6</v>
      </c>
      <c r="D102" s="58">
        <f>IF(CouplingMode="AC",B102-(A$11-A$10)*SUM(B$9:B102)/0.21,B102)</f>
        <v>-1.9445500000000001E-4</v>
      </c>
      <c r="E102" s="55">
        <f t="shared" si="37"/>
        <v>8.6630188440256657E-4</v>
      </c>
      <c r="F102" s="55">
        <f t="shared" si="38"/>
        <v>8.6630188440256657E-4</v>
      </c>
      <c r="G102" s="56">
        <f t="shared" si="39"/>
        <v>143842884676081.56</v>
      </c>
      <c r="H102" s="77">
        <f t="shared" si="40"/>
        <v>-6.3043654126362925E-6</v>
      </c>
      <c r="I102" s="56">
        <f t="shared" si="41"/>
        <v>100000</v>
      </c>
      <c r="J102" s="56" t="str">
        <f t="shared" si="42"/>
        <v/>
      </c>
      <c r="K102" s="56">
        <f t="shared" si="43"/>
        <v>100000</v>
      </c>
      <c r="L102" s="51">
        <f t="shared" si="51"/>
        <v>-1000000000000</v>
      </c>
      <c r="M102" s="46" t="str">
        <f t="shared" si="44"/>
        <v/>
      </c>
      <c r="N102" s="46" t="str">
        <f t="shared" si="45"/>
        <v/>
      </c>
      <c r="O102" s="51" t="e">
        <f t="shared" si="46"/>
        <v>#DIV/0!</v>
      </c>
      <c r="P102" s="56">
        <f t="shared" si="52"/>
        <v>3.7054318063785889E-11</v>
      </c>
      <c r="Q102" s="51" t="str">
        <f t="shared" si="53"/>
        <v/>
      </c>
      <c r="R102" s="40" t="str">
        <f t="shared" si="56"/>
        <v/>
      </c>
      <c r="S102" s="57">
        <f>IF(AND(E102&gt;0.95*BiasLight,E102&lt;1.05*BiasLight),"",IF(AugerModel="Sinton",calclifetimeauger(Auger_Coefficient,I102,P102),calclifetimerichter(SampleType,I102,SampleDoping,P102)))</f>
        <v>26987408006.769527</v>
      </c>
      <c r="T102" s="295" t="str">
        <f t="shared" si="55"/>
        <v/>
      </c>
      <c r="U102" s="57" t="e">
        <f t="shared" si="47"/>
        <v>#DIV/0!</v>
      </c>
      <c r="V102" s="40">
        <f>IF(AugerModel="Sinton","",IF(SampleType="n-type",n_intr_boltzmann(SampleDoping,0,K102,298.15),n_intr_boltzmann(0,SampleDoping,K102,298.15)))</f>
        <v>8310848067.6308546</v>
      </c>
      <c r="W102" s="40" t="str">
        <f t="shared" si="50"/>
        <v/>
      </c>
      <c r="X102" s="58" t="e">
        <f>IF(AND(A102&gt;TimeofMaxCD,I102&gt;Traps),IF(AugerModel="Sinton",CalcImpliedV(SampleDoping,O102),CalcImpliedVRichter(O102,SampleDoping,V102)),"")</f>
        <v>#DIV/0!</v>
      </c>
      <c r="Y102" s="37" t="e">
        <f t="shared" si="48"/>
        <v>#DIV/0!</v>
      </c>
      <c r="Z102" s="41" t="str">
        <f t="shared" si="49"/>
        <v/>
      </c>
    </row>
    <row r="103" spans="1:26">
      <c r="A103" s="53">
        <v>2.4191899999999999E-2</v>
      </c>
      <c r="B103" s="53">
        <v>-5.8698699999999997E-4</v>
      </c>
      <c r="C103" s="54">
        <v>-1.7848700000000001E-5</v>
      </c>
      <c r="D103" s="58">
        <f>IF(CouplingMode="AC",B103-(A$11-A$10)*SUM(B$9:B103)/0.21,B103)</f>
        <v>-5.8698699999999997E-4</v>
      </c>
      <c r="E103" s="55">
        <f t="shared" si="37"/>
        <v>1.0000000000000001E-5</v>
      </c>
      <c r="F103" s="55">
        <f t="shared" si="38"/>
        <v>1.0000000000000001E-5</v>
      </c>
      <c r="G103" s="56">
        <f t="shared" si="39"/>
        <v>1660424469413.2334</v>
      </c>
      <c r="H103" s="77">
        <f t="shared" si="40"/>
        <v>-1.9030462961325267E-5</v>
      </c>
      <c r="I103" s="56">
        <f t="shared" si="41"/>
        <v>100000</v>
      </c>
      <c r="J103" s="56" t="str">
        <f t="shared" si="42"/>
        <v/>
      </c>
      <c r="K103" s="56">
        <f t="shared" si="43"/>
        <v>100000</v>
      </c>
      <c r="L103" s="51">
        <f t="shared" si="51"/>
        <v>-1000000000000</v>
      </c>
      <c r="M103" s="46" t="str">
        <f t="shared" si="44"/>
        <v/>
      </c>
      <c r="N103" s="46" t="str">
        <f t="shared" si="45"/>
        <v/>
      </c>
      <c r="O103" s="51" t="e">
        <f t="shared" si="46"/>
        <v>#DIV/0!</v>
      </c>
      <c r="P103" s="56">
        <f t="shared" si="52"/>
        <v>3.2100225563909774E-9</v>
      </c>
      <c r="Q103" s="51" t="str">
        <f t="shared" si="53"/>
        <v/>
      </c>
      <c r="R103" s="40" t="str">
        <f t="shared" si="56"/>
        <v/>
      </c>
      <c r="S103" s="57">
        <f>IF(AND(E103&gt;0.95*BiasLight,E103&lt;1.05*BiasLight),"",IF(AugerModel="Sinton",calclifetimeauger(Auger_Coefficient,I103,P103),calclifetimerichter(SampleType,I103,SampleDoping,P103)))</f>
        <v>311524290.69666672</v>
      </c>
      <c r="T103" s="295" t="str">
        <f t="shared" si="55"/>
        <v/>
      </c>
      <c r="U103" s="57" t="e">
        <f t="shared" si="47"/>
        <v>#DIV/0!</v>
      </c>
      <c r="V103" s="40">
        <f>IF(AugerModel="Sinton","",IF(SampleType="n-type",n_intr_boltzmann(SampleDoping,0,K103,298.15),n_intr_boltzmann(0,SampleDoping,K103,298.15)))</f>
        <v>8310848067.6308546</v>
      </c>
      <c r="W103" s="40" t="str">
        <f t="shared" si="50"/>
        <v/>
      </c>
      <c r="X103" s="58" t="e">
        <f>IF(AND(A103&gt;TimeofMaxCD,I103&gt;Traps),IF(AugerModel="Sinton",CalcImpliedV(SampleDoping,O103),CalcImpliedVRichter(O103,SampleDoping,V103)),"")</f>
        <v>#DIV/0!</v>
      </c>
      <c r="Y103" s="37" t="e">
        <f t="shared" si="48"/>
        <v>#DIV/0!</v>
      </c>
      <c r="Z103" s="41" t="str">
        <f t="shared" si="49"/>
        <v/>
      </c>
    </row>
    <row r="104" spans="1:26">
      <c r="A104" s="53">
        <v>2.4447900000000002E-2</v>
      </c>
      <c r="B104" s="53">
        <v>-4.9943999999999998E-4</v>
      </c>
      <c r="C104" s="54">
        <v>2.48759E-5</v>
      </c>
      <c r="D104" s="58">
        <f>IF(CouplingMode="AC",B104-(A$11-A$10)*SUM(B$9:B104)/0.21,B104)</f>
        <v>-4.9943999999999998E-4</v>
      </c>
      <c r="E104" s="55">
        <f t="shared" si="37"/>
        <v>2.2861512576683855E-3</v>
      </c>
      <c r="F104" s="55">
        <f t="shared" si="38"/>
        <v>2.2861512576683855E-3</v>
      </c>
      <c r="G104" s="56">
        <f t="shared" si="39"/>
        <v>379598148901242.5</v>
      </c>
      <c r="H104" s="77">
        <f t="shared" si="40"/>
        <v>-1.6192149431396019E-5</v>
      </c>
      <c r="I104" s="56">
        <f t="shared" si="41"/>
        <v>100000</v>
      </c>
      <c r="J104" s="56" t="str">
        <f t="shared" si="42"/>
        <v/>
      </c>
      <c r="K104" s="56">
        <f t="shared" si="43"/>
        <v>100000</v>
      </c>
      <c r="L104" s="51">
        <f t="shared" si="51"/>
        <v>-1000000000000</v>
      </c>
      <c r="M104" s="46" t="str">
        <f t="shared" si="44"/>
        <v/>
      </c>
      <c r="N104" s="46" t="str">
        <f t="shared" si="45"/>
        <v/>
      </c>
      <c r="O104" s="51" t="e">
        <f t="shared" si="46"/>
        <v>#DIV/0!</v>
      </c>
      <c r="P104" s="56">
        <f t="shared" si="52"/>
        <v>1.4041164361385415E-11</v>
      </c>
      <c r="Q104" s="51" t="str">
        <f t="shared" si="53"/>
        <v/>
      </c>
      <c r="R104" s="40" t="str">
        <f t="shared" si="56"/>
        <v/>
      </c>
      <c r="S104" s="57">
        <f>IF(AND(E104&gt;0.95*BiasLight,E104&lt;1.05*BiasLight),"",IF(AugerModel="Sinton",calclifetimeauger(Auger_Coefficient,I104,P104),calclifetimerichter(SampleType,I104,SampleDoping,P104)))</f>
        <v>71219164897.04361</v>
      </c>
      <c r="T104" s="295" t="str">
        <f t="shared" si="55"/>
        <v/>
      </c>
      <c r="U104" s="57" t="e">
        <f t="shared" si="47"/>
        <v>#DIV/0!</v>
      </c>
      <c r="V104" s="40">
        <f>IF(AugerModel="Sinton","",IF(SampleType="n-type",n_intr_boltzmann(SampleDoping,0,K104,298.15),n_intr_boltzmann(0,SampleDoping,K104,298.15)))</f>
        <v>8310848067.6308546</v>
      </c>
      <c r="W104" s="40" t="str">
        <f t="shared" si="50"/>
        <v/>
      </c>
      <c r="X104" s="58" t="e">
        <f>IF(AND(A104&gt;TimeofMaxCD,I104&gt;Traps),IF(AugerModel="Sinton",CalcImpliedV(SampleDoping,O104),CalcImpliedVRichter(O104,SampleDoping,V104)),"")</f>
        <v>#DIV/0!</v>
      </c>
      <c r="Y104" s="37" t="e">
        <f t="shared" si="48"/>
        <v>#DIV/0!</v>
      </c>
      <c r="Z104" s="41" t="str">
        <f t="shared" si="49"/>
        <v/>
      </c>
    </row>
    <row r="105" spans="1:26">
      <c r="A105" s="53">
        <v>2.4703900000000001E-2</v>
      </c>
      <c r="B105" s="53">
        <v>-3.5886799999999998E-4</v>
      </c>
      <c r="C105" s="54">
        <v>1.09522E-5</v>
      </c>
      <c r="D105" s="58">
        <f>IF(CouplingMode="AC",B105-(A$11-A$10)*SUM(B$9:B105)/0.21,B105)</f>
        <v>-3.5886799999999998E-4</v>
      </c>
      <c r="E105" s="55">
        <f t="shared" ref="E105:E133" si="57">IF(C105&gt;0,C105/RefCellCal,0.00001)</f>
        <v>1.0065318563041213E-3</v>
      </c>
      <c r="F105" s="55">
        <f t="shared" ref="F105:F133" si="58">E105-BiasLight</f>
        <v>1.0065318563041213E-3</v>
      </c>
      <c r="G105" s="56">
        <f t="shared" ref="G105:G133" si="59">F105*0.038*OptConst/1.602E-19</f>
        <v>167127012345128.75</v>
      </c>
      <c r="H105" s="77">
        <f t="shared" ref="H105:H133" si="60">CalcConductance(B105,Dark_Voltage,A_cal,B_cal,C_cal)</f>
        <v>-1.1634732809580328E-5</v>
      </c>
      <c r="I105" s="56">
        <f t="shared" ref="I105:I133" si="61">CalcDeltaN(H105,SampleDoping,Thickness,AreaFrac)</f>
        <v>100000</v>
      </c>
      <c r="J105" s="56" t="str">
        <f t="shared" ref="J105:J133" si="62">IF(AND(AND(I105&gt;=FitRangeMin,I105&lt;=FitRangeMax),A105&gt;TimeofMaxCD),I105,"")</f>
        <v/>
      </c>
      <c r="K105" s="56">
        <f t="shared" ref="K105:K133" si="63">IF(I105-BiasPtCD&lt;0,0.00001,I105-BiasPtCD)</f>
        <v>100000</v>
      </c>
      <c r="L105" s="51">
        <f t="shared" si="51"/>
        <v>-1000000000000</v>
      </c>
      <c r="M105" s="46" t="str">
        <f t="shared" ref="M105:M133" si="64">IF(E105&gt;0.85*BiasLight,IF( E105&lt;1.15*BiasLight,E105,""),"")</f>
        <v/>
      </c>
      <c r="N105" s="46" t="str">
        <f t="shared" ref="N105:N133" si="65">IF(E105&gt;0.85*BiasLight,IF(E105&lt;1.15*BiasLight,I105,""),"")</f>
        <v/>
      </c>
      <c r="O105" s="51" t="e">
        <f t="shared" ref="O105:O133" si="66">I105-Traps</f>
        <v>#DIV/0!</v>
      </c>
      <c r="P105" s="56">
        <f t="shared" si="52"/>
        <v>3.1891912176310456E-11</v>
      </c>
      <c r="Q105" s="51" t="str">
        <f t="shared" si="53"/>
        <v/>
      </c>
      <c r="R105" s="40" t="str">
        <f t="shared" si="56"/>
        <v/>
      </c>
      <c r="S105" s="57">
        <f>IF(AND(E105&gt;0.95*BiasLight,E105&lt;1.05*BiasLight),"",IF(AugerModel="Sinton",calclifetimeauger(Auger_Coefficient,I105,P105),calclifetimerichter(SampleType,I105,SampleDoping,P105)))</f>
        <v>31355912259.874065</v>
      </c>
      <c r="T105" s="295" t="str">
        <f t="shared" si="55"/>
        <v/>
      </c>
      <c r="U105" s="57" t="e">
        <f t="shared" ref="U105:U133" si="67">FitInterceptAuger+FitSlopeAuger*(I105+Traps)</f>
        <v>#DIV/0!</v>
      </c>
      <c r="V105" s="40">
        <f>IF(AugerModel="Sinton","",IF(SampleType="n-type",n_intr_boltzmann(SampleDoping,0,K105,298.15),n_intr_boltzmann(0,SampleDoping,K105,298.15)))</f>
        <v>8310848067.6308546</v>
      </c>
      <c r="W105" s="40" t="str">
        <f t="shared" si="50"/>
        <v/>
      </c>
      <c r="X105" s="58" t="e">
        <f>IF(AND(A105&gt;TimeofMaxCD,I105&gt;Traps),IF(AugerModel="Sinton",CalcImpliedV(SampleDoping,O105),CalcImpliedVRichter(O105,SampleDoping,V105)),"")</f>
        <v>#DIV/0!</v>
      </c>
      <c r="Y105" s="37" t="e">
        <f t="shared" ref="Y105:Y133" si="68">IF(OR(P105="",P105&lt;0,A105&lt;=TimeofMaxCD),"",(O105*Thickness*1.602E-19/(0.038*OptConst*P105)))</f>
        <v>#DIV/0!</v>
      </c>
      <c r="Z105" s="41" t="str">
        <f t="shared" ref="Z105:Z133" si="69">IF(C105&gt;0.6,O105,"")</f>
        <v/>
      </c>
    </row>
    <row r="106" spans="1:26">
      <c r="A106" s="53">
        <v>2.49599E-2</v>
      </c>
      <c r="B106" s="53">
        <v>-4.8837700000000002E-4</v>
      </c>
      <c r="C106" s="54">
        <v>2.1784199999999999E-6</v>
      </c>
      <c r="D106" s="58">
        <f>IF(CouplingMode="AC",B106-(A$11-A$10)*SUM(B$9:B106)/0.21,B106)</f>
        <v>-4.8837700000000002E-4</v>
      </c>
      <c r="E106" s="55">
        <f t="shared" si="57"/>
        <v>2.0020170617866947E-4</v>
      </c>
      <c r="F106" s="55">
        <f t="shared" si="58"/>
        <v>2.0020170617866947E-4</v>
      </c>
      <c r="G106" s="56">
        <f t="shared" si="59"/>
        <v>33241981175734.129</v>
      </c>
      <c r="H106" s="77">
        <f t="shared" si="60"/>
        <v>-1.5833481654382864E-5</v>
      </c>
      <c r="I106" s="56">
        <f t="shared" si="61"/>
        <v>100000</v>
      </c>
      <c r="J106" s="56" t="str">
        <f t="shared" si="62"/>
        <v/>
      </c>
      <c r="K106" s="56">
        <f t="shared" si="63"/>
        <v>100000</v>
      </c>
      <c r="L106" s="51">
        <f t="shared" si="51"/>
        <v>-1000000000000</v>
      </c>
      <c r="M106" s="46" t="str">
        <f t="shared" si="64"/>
        <v/>
      </c>
      <c r="N106" s="46" t="str">
        <f t="shared" si="65"/>
        <v/>
      </c>
      <c r="O106" s="51" t="e">
        <f t="shared" si="66"/>
        <v>#DIV/0!</v>
      </c>
      <c r="P106" s="56">
        <f t="shared" si="52"/>
        <v>1.6033942056049222E-10</v>
      </c>
      <c r="Q106" s="51" t="str">
        <f t="shared" si="53"/>
        <v/>
      </c>
      <c r="R106" s="40" t="str">
        <f t="shared" si="56"/>
        <v/>
      </c>
      <c r="S106" s="57">
        <f>IF(AND(E106&gt;0.95*BiasLight,E106&lt;1.05*BiasLight),"",IF(AugerModel="Sinton",calclifetimeauger(Auger_Coefficient,I106,P106),calclifetimerichter(SampleType,I106,SampleDoping,P106)))</f>
        <v>6236769451.3572474</v>
      </c>
      <c r="T106" s="295" t="str">
        <f t="shared" si="55"/>
        <v/>
      </c>
      <c r="U106" s="57" t="e">
        <f t="shared" si="67"/>
        <v>#DIV/0!</v>
      </c>
      <c r="V106" s="40">
        <f>IF(AugerModel="Sinton","",IF(SampleType="n-type",n_intr_boltzmann(SampleDoping,0,K106,298.15),n_intr_boltzmann(0,SampleDoping,K106,298.15)))</f>
        <v>8310848067.6308546</v>
      </c>
      <c r="W106" s="40" t="str">
        <f t="shared" si="50"/>
        <v/>
      </c>
      <c r="X106" s="58" t="e">
        <f>IF(AND(A106&gt;TimeofMaxCD,I106&gt;Traps),IF(AugerModel="Sinton",CalcImpliedV(SampleDoping,O106),CalcImpliedVRichter(O106,SampleDoping,V106)),"")</f>
        <v>#DIV/0!</v>
      </c>
      <c r="Y106" s="37" t="e">
        <f t="shared" si="68"/>
        <v>#DIV/0!</v>
      </c>
      <c r="Z106" s="41" t="str">
        <f t="shared" si="69"/>
        <v/>
      </c>
    </row>
    <row r="107" spans="1:26">
      <c r="A107" s="53">
        <v>2.5215899999999999E-2</v>
      </c>
      <c r="B107" s="53">
        <v>-3.93963E-4</v>
      </c>
      <c r="C107" s="54">
        <v>4.6047400000000002E-5</v>
      </c>
      <c r="D107" s="58">
        <f>IF(CouplingMode="AC",B107-(A$11-A$10)*SUM(B$9:B107)/0.21,B107)</f>
        <v>-3.93963E-4</v>
      </c>
      <c r="E107" s="55">
        <f t="shared" si="57"/>
        <v>4.2318598089861759E-3</v>
      </c>
      <c r="F107" s="55">
        <f t="shared" si="58"/>
        <v>4.2318598089861759E-3</v>
      </c>
      <c r="G107" s="56">
        <f t="shared" si="59"/>
        <v>702668357796705.75</v>
      </c>
      <c r="H107" s="77">
        <f t="shared" si="60"/>
        <v>-1.2772531760622818E-5</v>
      </c>
      <c r="I107" s="56">
        <f t="shared" si="61"/>
        <v>100000</v>
      </c>
      <c r="J107" s="56" t="str">
        <f t="shared" si="62"/>
        <v/>
      </c>
      <c r="K107" s="56">
        <f t="shared" si="63"/>
        <v>100000</v>
      </c>
      <c r="L107" s="51">
        <f t="shared" ref="L107:L131" si="70">IF(ABS(SLOPE(K105:K109,A105:A109))&lt;1000000000000,-1000000000000,(SLOPE(K105:K109,A105:A109)))</f>
        <v>-1000000000000</v>
      </c>
      <c r="M107" s="46" t="str">
        <f t="shared" si="64"/>
        <v/>
      </c>
      <c r="N107" s="46" t="str">
        <f t="shared" si="65"/>
        <v/>
      </c>
      <c r="O107" s="51" t="e">
        <f t="shared" si="66"/>
        <v>#DIV/0!</v>
      </c>
      <c r="P107" s="56">
        <f t="shared" ref="P107:P131" si="71">calclifetime(AnalysisMode,K107,Thickness,G107,L107)</f>
        <v>7.5853707383562903E-12</v>
      </c>
      <c r="Q107" s="51" t="str">
        <f t="shared" si="53"/>
        <v/>
      </c>
      <c r="R107" s="40" t="str">
        <f t="shared" si="56"/>
        <v/>
      </c>
      <c r="S107" s="57">
        <f>IF(AND(E107&gt;0.95*BiasLight,E107&lt;1.05*BiasLight),"",IF(AugerModel="Sinton",calclifetimeauger(Auger_Coefficient,I107,P107),calclifetimerichter(SampleType,I107,SampleDoping,P107)))</f>
        <v>131832712532.21497</v>
      </c>
      <c r="T107" s="295" t="str">
        <f t="shared" si="55"/>
        <v/>
      </c>
      <c r="U107" s="57" t="e">
        <f t="shared" si="67"/>
        <v>#DIV/0!</v>
      </c>
      <c r="V107" s="40">
        <f>IF(AugerModel="Sinton","",IF(SampleType="n-type",n_intr_boltzmann(SampleDoping,0,K107,298.15),n_intr_boltzmann(0,SampleDoping,K107,298.15)))</f>
        <v>8310848067.6308546</v>
      </c>
      <c r="W107" s="40" t="str">
        <f t="shared" si="50"/>
        <v/>
      </c>
      <c r="X107" s="58" t="e">
        <f>IF(AND(A107&gt;TimeofMaxCD,I107&gt;Traps),IF(AugerModel="Sinton",CalcImpliedV(SampleDoping,O107),CalcImpliedVRichter(O107,SampleDoping,V107)),"")</f>
        <v>#DIV/0!</v>
      </c>
      <c r="Y107" s="37" t="e">
        <f t="shared" si="68"/>
        <v>#DIV/0!</v>
      </c>
      <c r="Z107" s="41" t="str">
        <f t="shared" si="69"/>
        <v/>
      </c>
    </row>
    <row r="108" spans="1:26">
      <c r="A108" s="53">
        <v>2.5471899999999999E-2</v>
      </c>
      <c r="B108" s="53">
        <v>-4.2142900000000002E-4</v>
      </c>
      <c r="C108" s="54">
        <v>4.9099199999999999E-5</v>
      </c>
      <c r="D108" s="58">
        <f>IF(CouplingMode="AC",B108-(A$11-A$10)*SUM(B$9:B108)/0.21,B108)</f>
        <v>-4.2142900000000002E-4</v>
      </c>
      <c r="E108" s="55">
        <f t="shared" si="57"/>
        <v>4.5123271049695322E-3</v>
      </c>
      <c r="F108" s="55">
        <f t="shared" si="58"/>
        <v>4.5123271049695322E-3</v>
      </c>
      <c r="G108" s="56">
        <f t="shared" si="59"/>
        <v>749237833908798.75</v>
      </c>
      <c r="H108" s="77">
        <f t="shared" si="60"/>
        <v>-1.3662993935271983E-5</v>
      </c>
      <c r="I108" s="56">
        <f t="shared" si="61"/>
        <v>100000</v>
      </c>
      <c r="J108" s="56" t="str">
        <f t="shared" si="62"/>
        <v/>
      </c>
      <c r="K108" s="56">
        <f t="shared" si="63"/>
        <v>100000</v>
      </c>
      <c r="L108" s="51">
        <f t="shared" si="70"/>
        <v>-1000000000000</v>
      </c>
      <c r="M108" s="46" t="str">
        <f t="shared" si="64"/>
        <v/>
      </c>
      <c r="N108" s="46" t="str">
        <f t="shared" si="65"/>
        <v/>
      </c>
      <c r="O108" s="51" t="e">
        <f t="shared" si="66"/>
        <v>#DIV/0!</v>
      </c>
      <c r="P108" s="56">
        <f t="shared" si="71"/>
        <v>7.1138959603697699E-12</v>
      </c>
      <c r="Q108" s="51" t="str">
        <f t="shared" ref="Q108:Q133" si="72">IF($J108="","",P108)</f>
        <v/>
      </c>
      <c r="R108" s="40" t="str">
        <f t="shared" si="56"/>
        <v/>
      </c>
      <c r="S108" s="57">
        <f>IF(AND(E108&gt;0.95*BiasLight,E108&lt;1.05*BiasLight),"",IF(AugerModel="Sinton",calclifetimeauger(Auger_Coefficient,I108,P108),calclifetimerichter(SampleType,I108,SampleDoping,P108)))</f>
        <v>140569950076.69769</v>
      </c>
      <c r="T108" s="295" t="str">
        <f t="shared" ref="T108:T133" si="73">IF($J108="","",S108)</f>
        <v/>
      </c>
      <c r="U108" s="57" t="e">
        <f t="shared" si="67"/>
        <v>#DIV/0!</v>
      </c>
      <c r="V108" s="40">
        <f>IF(AugerModel="Sinton","",IF(SampleType="n-type",n_intr_boltzmann(SampleDoping,0,K108,298.15),n_intr_boltzmann(0,SampleDoping,K108,298.15)))</f>
        <v>8310848067.6308546</v>
      </c>
      <c r="W108" s="40" t="str">
        <f t="shared" si="50"/>
        <v/>
      </c>
      <c r="X108" s="58" t="e">
        <f>IF(AND(A108&gt;TimeofMaxCD,I108&gt;Traps),IF(AugerModel="Sinton",CalcImpliedV(SampleDoping,O108),CalcImpliedVRichter(O108,SampleDoping,V108)),"")</f>
        <v>#DIV/0!</v>
      </c>
      <c r="Y108" s="37" t="e">
        <f t="shared" si="68"/>
        <v>#DIV/0!</v>
      </c>
      <c r="Z108" s="41" t="str">
        <f t="shared" si="69"/>
        <v/>
      </c>
    </row>
    <row r="109" spans="1:26">
      <c r="A109" s="53">
        <v>2.5727900000000001E-2</v>
      </c>
      <c r="B109" s="53">
        <v>-4.7216499999999998E-4</v>
      </c>
      <c r="C109" s="54">
        <v>2.2586999999999999E-5</v>
      </c>
      <c r="D109" s="58">
        <f>IF(CouplingMode="AC",B109-(A$11-A$10)*SUM(B$9:B109)/0.21,B109)</f>
        <v>-4.7216499999999998E-4</v>
      </c>
      <c r="E109" s="55">
        <f t="shared" si="57"/>
        <v>2.0757961905682131E-3</v>
      </c>
      <c r="F109" s="55">
        <f t="shared" si="58"/>
        <v>2.0757961905682131E-3</v>
      </c>
      <c r="G109" s="56">
        <f t="shared" si="59"/>
        <v>344670278833423.62</v>
      </c>
      <c r="H109" s="77">
        <f t="shared" si="60"/>
        <v>-1.5307880705597854E-5</v>
      </c>
      <c r="I109" s="56">
        <f t="shared" si="61"/>
        <v>100000</v>
      </c>
      <c r="J109" s="56" t="str">
        <f t="shared" si="62"/>
        <v/>
      </c>
      <c r="K109" s="56">
        <f t="shared" si="63"/>
        <v>100000</v>
      </c>
      <c r="L109" s="51">
        <f t="shared" si="70"/>
        <v>-1000000000000</v>
      </c>
      <c r="M109" s="46" t="str">
        <f t="shared" si="64"/>
        <v/>
      </c>
      <c r="N109" s="46" t="str">
        <f t="shared" si="65"/>
        <v/>
      </c>
      <c r="O109" s="51" t="e">
        <f t="shared" si="66"/>
        <v>#DIV/0!</v>
      </c>
      <c r="P109" s="56">
        <f t="shared" si="71"/>
        <v>1.5464054568441472E-11</v>
      </c>
      <c r="Q109" s="51" t="str">
        <f t="shared" si="72"/>
        <v/>
      </c>
      <c r="R109" s="40" t="str">
        <f t="shared" ref="R109:R133" si="74">IF(Q109="","",1/Q109)</f>
        <v/>
      </c>
      <c r="S109" s="57">
        <f>IF(AND(E109&gt;0.95*BiasLight,E109&lt;1.05*BiasLight),"",IF(AugerModel="Sinton",calclifetimeauger(Auger_Coefficient,I109,P109),calclifetimerichter(SampleType,I109,SampleDoping,P109)))</f>
        <v>64666093589.760521</v>
      </c>
      <c r="T109" s="295" t="str">
        <f t="shared" si="73"/>
        <v/>
      </c>
      <c r="U109" s="57" t="e">
        <f t="shared" si="67"/>
        <v>#DIV/0!</v>
      </c>
      <c r="V109" s="40">
        <f>IF(AugerModel="Sinton","",IF(SampleType="n-type",n_intr_boltzmann(SampleDoping,0,K109,298.15),n_intr_boltzmann(0,SampleDoping,K109,298.15)))</f>
        <v>8310848067.6308546</v>
      </c>
      <c r="W109" s="40" t="str">
        <f t="shared" si="50"/>
        <v/>
      </c>
      <c r="X109" s="58" t="e">
        <f>IF(AND(A109&gt;TimeofMaxCD,I109&gt;Traps),IF(AugerModel="Sinton",CalcImpliedV(SampleDoping,O109),CalcImpliedVRichter(O109,SampleDoping,V109)),"")</f>
        <v>#DIV/0!</v>
      </c>
      <c r="Y109" s="37" t="e">
        <f t="shared" si="68"/>
        <v>#DIV/0!</v>
      </c>
      <c r="Z109" s="41" t="str">
        <f t="shared" si="69"/>
        <v/>
      </c>
    </row>
    <row r="110" spans="1:26">
      <c r="A110" s="53">
        <v>2.5983900000000001E-2</v>
      </c>
      <c r="B110" s="53">
        <v>-5.2156499999999998E-4</v>
      </c>
      <c r="C110" s="54">
        <v>4.6047400000000002E-5</v>
      </c>
      <c r="D110" s="58">
        <f>IF(CouplingMode="AC",B110-(A$11-A$10)*SUM(B$9:B110)/0.21,B110)</f>
        <v>-5.2156499999999998E-4</v>
      </c>
      <c r="E110" s="55">
        <f t="shared" si="57"/>
        <v>4.2318598089861759E-3</v>
      </c>
      <c r="F110" s="55">
        <f t="shared" si="58"/>
        <v>4.2318598089861759E-3</v>
      </c>
      <c r="G110" s="56">
        <f t="shared" si="59"/>
        <v>702668357796705.75</v>
      </c>
      <c r="H110" s="77">
        <f t="shared" si="60"/>
        <v>-1.6909452370476863E-5</v>
      </c>
      <c r="I110" s="56">
        <f t="shared" si="61"/>
        <v>100000</v>
      </c>
      <c r="J110" s="56" t="str">
        <f t="shared" si="62"/>
        <v/>
      </c>
      <c r="K110" s="56">
        <f t="shared" si="63"/>
        <v>100000</v>
      </c>
      <c r="L110" s="51">
        <f t="shared" si="70"/>
        <v>-1000000000000</v>
      </c>
      <c r="M110" s="46" t="str">
        <f t="shared" si="64"/>
        <v/>
      </c>
      <c r="N110" s="46" t="str">
        <f t="shared" si="65"/>
        <v/>
      </c>
      <c r="O110" s="51" t="e">
        <f t="shared" si="66"/>
        <v>#DIV/0!</v>
      </c>
      <c r="P110" s="56">
        <f t="shared" si="71"/>
        <v>7.5853707383562903E-12</v>
      </c>
      <c r="Q110" s="51" t="str">
        <f t="shared" si="72"/>
        <v/>
      </c>
      <c r="R110" s="40" t="str">
        <f t="shared" si="74"/>
        <v/>
      </c>
      <c r="S110" s="57">
        <f>IF(AND(E110&gt;0.95*BiasLight,E110&lt;1.05*BiasLight),"",IF(AugerModel="Sinton",calclifetimeauger(Auger_Coefficient,I110,P110),calclifetimerichter(SampleType,I110,SampleDoping,P110)))</f>
        <v>131832712532.21497</v>
      </c>
      <c r="T110" s="295" t="str">
        <f t="shared" si="73"/>
        <v/>
      </c>
      <c r="U110" s="57" t="e">
        <f t="shared" si="67"/>
        <v>#DIV/0!</v>
      </c>
      <c r="V110" s="40">
        <f>IF(AugerModel="Sinton","",IF(SampleType="n-type",n_intr_boltzmann(SampleDoping,0,K110,298.15),n_intr_boltzmann(0,SampleDoping,K110,298.15)))</f>
        <v>8310848067.6308546</v>
      </c>
      <c r="W110" s="40" t="str">
        <f t="shared" si="50"/>
        <v/>
      </c>
      <c r="X110" s="58" t="e">
        <f>IF(AND(A110&gt;TimeofMaxCD,I110&gt;Traps),IF(AugerModel="Sinton",CalcImpliedV(SampleDoping,O110),CalcImpliedVRichter(O110,SampleDoping,V110)),"")</f>
        <v>#DIV/0!</v>
      </c>
      <c r="Y110" s="37" t="e">
        <f t="shared" si="68"/>
        <v>#DIV/0!</v>
      </c>
      <c r="Z110" s="41" t="str">
        <f t="shared" si="69"/>
        <v/>
      </c>
    </row>
    <row r="111" spans="1:26">
      <c r="A111" s="53">
        <v>2.62399E-2</v>
      </c>
      <c r="B111" s="53">
        <v>-3.2682499999999999E-4</v>
      </c>
      <c r="C111" s="54">
        <v>-1.2548100000000001E-6</v>
      </c>
      <c r="D111" s="58">
        <f>IF(CouplingMode="AC",B111-(A$11-A$10)*SUM(B$9:B111)/0.21,B111)</f>
        <v>-3.2682499999999999E-4</v>
      </c>
      <c r="E111" s="55">
        <f t="shared" si="57"/>
        <v>1.0000000000000001E-5</v>
      </c>
      <c r="F111" s="55">
        <f t="shared" si="58"/>
        <v>1.0000000000000001E-5</v>
      </c>
      <c r="G111" s="56">
        <f t="shared" si="59"/>
        <v>1660424469413.2334</v>
      </c>
      <c r="H111" s="77">
        <f t="shared" si="60"/>
        <v>-1.0595880785578549E-5</v>
      </c>
      <c r="I111" s="56">
        <f t="shared" si="61"/>
        <v>100000</v>
      </c>
      <c r="J111" s="56" t="str">
        <f t="shared" si="62"/>
        <v/>
      </c>
      <c r="K111" s="56">
        <f t="shared" si="63"/>
        <v>100000</v>
      </c>
      <c r="L111" s="51">
        <f t="shared" si="70"/>
        <v>-1000000000000</v>
      </c>
      <c r="M111" s="46" t="str">
        <f t="shared" si="64"/>
        <v/>
      </c>
      <c r="N111" s="46" t="str">
        <f t="shared" si="65"/>
        <v/>
      </c>
      <c r="O111" s="51" t="e">
        <f t="shared" si="66"/>
        <v>#DIV/0!</v>
      </c>
      <c r="P111" s="56">
        <f t="shared" si="71"/>
        <v>3.2100225563909774E-9</v>
      </c>
      <c r="Q111" s="51" t="str">
        <f t="shared" si="72"/>
        <v/>
      </c>
      <c r="R111" s="40" t="str">
        <f t="shared" si="74"/>
        <v/>
      </c>
      <c r="S111" s="57">
        <f>IF(AND(E111&gt;0.95*BiasLight,E111&lt;1.05*BiasLight),"",IF(AugerModel="Sinton",calclifetimeauger(Auger_Coefficient,I111,P111),calclifetimerichter(SampleType,I111,SampleDoping,P111)))</f>
        <v>311524290.69666672</v>
      </c>
      <c r="T111" s="295" t="str">
        <f t="shared" si="73"/>
        <v/>
      </c>
      <c r="U111" s="57" t="e">
        <f t="shared" si="67"/>
        <v>#DIV/0!</v>
      </c>
      <c r="V111" s="40">
        <f>IF(AugerModel="Sinton","",IF(SampleType="n-type",n_intr_boltzmann(SampleDoping,0,K111,298.15),n_intr_boltzmann(0,SampleDoping,K111,298.15)))</f>
        <v>8310848067.6308546</v>
      </c>
      <c r="W111" s="40" t="str">
        <f t="shared" si="50"/>
        <v/>
      </c>
      <c r="X111" s="58" t="e">
        <f>IF(AND(A111&gt;TimeofMaxCD,I111&gt;Traps),IF(AugerModel="Sinton",CalcImpliedV(SampleDoping,O111),CalcImpliedVRichter(O111,SampleDoping,V111)),"")</f>
        <v>#DIV/0!</v>
      </c>
      <c r="Y111" s="37" t="e">
        <f t="shared" si="68"/>
        <v>#DIV/0!</v>
      </c>
      <c r="Z111" s="41" t="str">
        <f t="shared" si="69"/>
        <v/>
      </c>
    </row>
    <row r="112" spans="1:26">
      <c r="A112" s="53">
        <v>2.6495899999999999E-2</v>
      </c>
      <c r="B112" s="53">
        <v>-3.6306400000000002E-4</v>
      </c>
      <c r="C112" s="54">
        <v>2.4685099999999999E-5</v>
      </c>
      <c r="D112" s="58">
        <f>IF(CouplingMode="AC",B112-(A$11-A$10)*SUM(B$9:B112)/0.21,B112)</f>
        <v>-3.6306400000000002E-4</v>
      </c>
      <c r="E112" s="55">
        <f t="shared" si="57"/>
        <v>2.2686163077786071E-3</v>
      </c>
      <c r="F112" s="55">
        <f t="shared" si="58"/>
        <v>2.2686163077786071E-3</v>
      </c>
      <c r="G112" s="56">
        <f t="shared" si="59"/>
        <v>376686602914550.19</v>
      </c>
      <c r="H112" s="77">
        <f t="shared" si="60"/>
        <v>-1.1770769441678264E-5</v>
      </c>
      <c r="I112" s="56">
        <f t="shared" si="61"/>
        <v>100000</v>
      </c>
      <c r="J112" s="56" t="str">
        <f t="shared" si="62"/>
        <v/>
      </c>
      <c r="K112" s="56">
        <f t="shared" si="63"/>
        <v>100000</v>
      </c>
      <c r="L112" s="51">
        <f t="shared" si="70"/>
        <v>-1000000000000</v>
      </c>
      <c r="M112" s="46" t="str">
        <f t="shared" si="64"/>
        <v/>
      </c>
      <c r="N112" s="46" t="str">
        <f t="shared" si="65"/>
        <v/>
      </c>
      <c r="O112" s="51" t="e">
        <f t="shared" si="66"/>
        <v>#DIV/0!</v>
      </c>
      <c r="P112" s="56">
        <f t="shared" si="71"/>
        <v>1.4149693561597381E-11</v>
      </c>
      <c r="Q112" s="51" t="str">
        <f t="shared" si="72"/>
        <v/>
      </c>
      <c r="R112" s="40" t="str">
        <f t="shared" si="74"/>
        <v/>
      </c>
      <c r="S112" s="57">
        <f>IF(AND(E112&gt;0.95*BiasLight,E112&lt;1.05*BiasLight),"",IF(AugerModel="Sinton",calclifetimeauger(Auger_Coefficient,I112,P112),calclifetimerichter(SampleType,I112,SampleDoping,P112)))</f>
        <v>70672908614.362137</v>
      </c>
      <c r="T112" s="295" t="str">
        <f t="shared" si="73"/>
        <v/>
      </c>
      <c r="U112" s="57" t="e">
        <f t="shared" si="67"/>
        <v>#DIV/0!</v>
      </c>
      <c r="V112" s="40">
        <f>IF(AugerModel="Sinton","",IF(SampleType="n-type",n_intr_boltzmann(SampleDoping,0,K112,298.15),n_intr_boltzmann(0,SampleDoping,K112,298.15)))</f>
        <v>8310848067.6308546</v>
      </c>
      <c r="W112" s="40" t="str">
        <f t="shared" si="50"/>
        <v/>
      </c>
      <c r="X112" s="58" t="e">
        <f>IF(AND(A112&gt;TimeofMaxCD,I112&gt;Traps),IF(AugerModel="Sinton",CalcImpliedV(SampleDoping,O112),CalcImpliedVRichter(O112,SampleDoping,V112)),"")</f>
        <v>#DIV/0!</v>
      </c>
      <c r="Y112" s="37" t="e">
        <f t="shared" si="68"/>
        <v>#DIV/0!</v>
      </c>
      <c r="Z112" s="41" t="str">
        <f t="shared" si="69"/>
        <v/>
      </c>
    </row>
    <row r="113" spans="1:26">
      <c r="A113" s="53">
        <v>2.6751899999999999E-2</v>
      </c>
      <c r="B113" s="53">
        <v>-4.13609E-4</v>
      </c>
      <c r="C113" s="54">
        <v>1.6674300000000001E-5</v>
      </c>
      <c r="D113" s="58">
        <f>IF(CouplingMode="AC",B113-(A$11-A$10)*SUM(B$9:B113)/0.21,B113)</f>
        <v>-4.13609E-4</v>
      </c>
      <c r="E113" s="55">
        <f t="shared" si="57"/>
        <v>1.5324057387165874E-3</v>
      </c>
      <c r="F113" s="55">
        <f t="shared" si="58"/>
        <v>1.5324057387165874E-3</v>
      </c>
      <c r="G113" s="56">
        <f t="shared" si="59"/>
        <v>254444398563428.34</v>
      </c>
      <c r="H113" s="77">
        <f t="shared" si="60"/>
        <v>-1.3409465460488545E-5</v>
      </c>
      <c r="I113" s="56">
        <f t="shared" si="61"/>
        <v>100000</v>
      </c>
      <c r="J113" s="56" t="str">
        <f t="shared" si="62"/>
        <v/>
      </c>
      <c r="K113" s="56">
        <f t="shared" si="63"/>
        <v>100000</v>
      </c>
      <c r="L113" s="51">
        <f t="shared" si="70"/>
        <v>-1000000000000</v>
      </c>
      <c r="M113" s="46" t="str">
        <f t="shared" si="64"/>
        <v/>
      </c>
      <c r="N113" s="46" t="str">
        <f t="shared" si="65"/>
        <v/>
      </c>
      <c r="O113" s="51" t="e">
        <f t="shared" si="66"/>
        <v>#DIV/0!</v>
      </c>
      <c r="P113" s="56">
        <f t="shared" si="71"/>
        <v>2.0947602030513272E-11</v>
      </c>
      <c r="Q113" s="51" t="str">
        <f t="shared" si="72"/>
        <v/>
      </c>
      <c r="R113" s="40" t="str">
        <f t="shared" si="74"/>
        <v/>
      </c>
      <c r="S113" s="57">
        <f>IF(AND(E113&gt;0.95*BiasLight,E113&lt;1.05*BiasLight),"",IF(AugerModel="Sinton",calclifetimeauger(Auger_Coefficient,I113,P113),calclifetimerichter(SampleType,I113,SampleDoping,P113)))</f>
        <v>47738161081.318642</v>
      </c>
      <c r="T113" s="295" t="str">
        <f t="shared" si="73"/>
        <v/>
      </c>
      <c r="U113" s="57" t="e">
        <f t="shared" si="67"/>
        <v>#DIV/0!</v>
      </c>
      <c r="V113" s="40">
        <f>IF(AugerModel="Sinton","",IF(SampleType="n-type",n_intr_boltzmann(SampleDoping,0,K113,298.15),n_intr_boltzmann(0,SampleDoping,K113,298.15)))</f>
        <v>8310848067.6308546</v>
      </c>
      <c r="W113" s="40" t="str">
        <f t="shared" si="50"/>
        <v/>
      </c>
      <c r="X113" s="58" t="e">
        <f>IF(AND(A113&gt;TimeofMaxCD,I113&gt;Traps),IF(AugerModel="Sinton",CalcImpliedV(SampleDoping,O113),CalcImpliedVRichter(O113,SampleDoping,V113)),"")</f>
        <v>#DIV/0!</v>
      </c>
      <c r="Y113" s="37" t="e">
        <f t="shared" si="68"/>
        <v>#DIV/0!</v>
      </c>
      <c r="Z113" s="41" t="str">
        <f t="shared" si="69"/>
        <v/>
      </c>
    </row>
    <row r="114" spans="1:26">
      <c r="A114" s="53">
        <v>2.7007900000000001E-2</v>
      </c>
      <c r="B114" s="53">
        <v>-3.8747800000000002E-4</v>
      </c>
      <c r="C114" s="54">
        <v>3.1551599999999998E-5</v>
      </c>
      <c r="D114" s="58">
        <f>IF(CouplingMode="AC",B114-(A$11-A$10)*SUM(B$9:B114)/0.21,B114)</f>
        <v>-3.8747800000000002E-4</v>
      </c>
      <c r="E114" s="55">
        <f t="shared" si="57"/>
        <v>2.8996631286285048E-3</v>
      </c>
      <c r="F114" s="55">
        <f t="shared" si="58"/>
        <v>2.8996631286285048E-3</v>
      </c>
      <c r="G114" s="56">
        <f t="shared" si="59"/>
        <v>481467161183010.12</v>
      </c>
      <c r="H114" s="77">
        <f t="shared" si="60"/>
        <v>-1.2562284589422157E-5</v>
      </c>
      <c r="I114" s="56">
        <f t="shared" si="61"/>
        <v>100000</v>
      </c>
      <c r="J114" s="56" t="str">
        <f t="shared" si="62"/>
        <v/>
      </c>
      <c r="K114" s="56">
        <f t="shared" si="63"/>
        <v>100000</v>
      </c>
      <c r="L114" s="51">
        <f t="shared" si="70"/>
        <v>-1000000000000</v>
      </c>
      <c r="M114" s="46" t="str">
        <f t="shared" si="64"/>
        <v/>
      </c>
      <c r="N114" s="46" t="str">
        <f t="shared" si="65"/>
        <v/>
      </c>
      <c r="O114" s="51" t="e">
        <f t="shared" si="66"/>
        <v>#DIV/0!</v>
      </c>
      <c r="P114" s="56">
        <f t="shared" si="71"/>
        <v>1.1070329255485853E-11</v>
      </c>
      <c r="Q114" s="51" t="str">
        <f t="shared" si="72"/>
        <v/>
      </c>
      <c r="R114" s="40" t="str">
        <f t="shared" si="74"/>
        <v/>
      </c>
      <c r="S114" s="57">
        <f>IF(AND(E114&gt;0.95*BiasLight,E114&lt;1.05*BiasLight),"",IF(AugerModel="Sinton",calclifetimeauger(Auger_Coefficient,I114,P114),calclifetimerichter(SampleType,I114,SampleDoping,P114)))</f>
        <v>90331549940.527237</v>
      </c>
      <c r="T114" s="295" t="str">
        <f t="shared" si="73"/>
        <v/>
      </c>
      <c r="U114" s="57" t="e">
        <f t="shared" si="67"/>
        <v>#DIV/0!</v>
      </c>
      <c r="V114" s="40">
        <f>IF(AugerModel="Sinton","",IF(SampleType="n-type",n_intr_boltzmann(SampleDoping,0,K114,298.15),n_intr_boltzmann(0,SampleDoping,K114,298.15)))</f>
        <v>8310848067.6308546</v>
      </c>
      <c r="W114" s="40" t="str">
        <f t="shared" si="50"/>
        <v/>
      </c>
      <c r="X114" s="58" t="e">
        <f>IF(AND(A114&gt;TimeofMaxCD,I114&gt;Traps),IF(AugerModel="Sinton",CalcImpliedV(SampleDoping,O114),CalcImpliedVRichter(O114,SampleDoping,V114)),"")</f>
        <v>#DIV/0!</v>
      </c>
      <c r="Y114" s="37" t="e">
        <f t="shared" si="68"/>
        <v>#DIV/0!</v>
      </c>
      <c r="Z114" s="41" t="str">
        <f t="shared" si="69"/>
        <v/>
      </c>
    </row>
    <row r="115" spans="1:26">
      <c r="A115" s="53">
        <v>2.7263900000000001E-2</v>
      </c>
      <c r="B115" s="53">
        <v>-3.3445399999999998E-4</v>
      </c>
      <c r="C115" s="54">
        <v>2.0298200000000002E-5</v>
      </c>
      <c r="D115" s="58">
        <f>IF(CouplingMode="AC",B115-(A$11-A$10)*SUM(B$9:B115)/0.21,B115)</f>
        <v>-3.3445399999999998E-4</v>
      </c>
      <c r="E115" s="55">
        <f t="shared" si="57"/>
        <v>1.8654503136933506E-3</v>
      </c>
      <c r="F115" s="55">
        <f t="shared" si="58"/>
        <v>1.8654503136933506E-3</v>
      </c>
      <c r="G115" s="56">
        <f t="shared" si="59"/>
        <v>309743934733103.19</v>
      </c>
      <c r="H115" s="77">
        <f t="shared" si="60"/>
        <v>-1.0843217291882368E-5</v>
      </c>
      <c r="I115" s="56">
        <f t="shared" si="61"/>
        <v>100000</v>
      </c>
      <c r="J115" s="56" t="str">
        <f t="shared" si="62"/>
        <v/>
      </c>
      <c r="K115" s="56">
        <f t="shared" si="63"/>
        <v>100000</v>
      </c>
      <c r="L115" s="51">
        <f t="shared" si="70"/>
        <v>-1000000000000</v>
      </c>
      <c r="M115" s="46" t="str">
        <f t="shared" si="64"/>
        <v/>
      </c>
      <c r="N115" s="46" t="str">
        <f t="shared" si="65"/>
        <v/>
      </c>
      <c r="O115" s="51" t="e">
        <f t="shared" si="66"/>
        <v>#DIV/0!</v>
      </c>
      <c r="P115" s="56">
        <f t="shared" si="71"/>
        <v>1.7207762291108935E-11</v>
      </c>
      <c r="Q115" s="51" t="str">
        <f t="shared" si="72"/>
        <v/>
      </c>
      <c r="R115" s="40" t="str">
        <f t="shared" si="74"/>
        <v/>
      </c>
      <c r="S115" s="57">
        <f>IF(AND(E115&gt;0.95*BiasLight,E115&lt;1.05*BiasLight),"",IF(AugerModel="Sinton",calclifetimeauger(Auger_Coefficient,I115,P115),calclifetimerichter(SampleType,I115,SampleDoping,P115)))</f>
        <v>58113308580.31955</v>
      </c>
      <c r="T115" s="295" t="str">
        <f t="shared" si="73"/>
        <v/>
      </c>
      <c r="U115" s="57" t="e">
        <f t="shared" si="67"/>
        <v>#DIV/0!</v>
      </c>
      <c r="V115" s="40">
        <f>IF(AugerModel="Sinton","",IF(SampleType="n-type",n_intr_boltzmann(SampleDoping,0,K115,298.15),n_intr_boltzmann(0,SampleDoping,K115,298.15)))</f>
        <v>8310848067.6308546</v>
      </c>
      <c r="W115" s="40" t="str">
        <f t="shared" si="50"/>
        <v/>
      </c>
      <c r="X115" s="58" t="e">
        <f>IF(AND(A115&gt;TimeofMaxCD,I115&gt;Traps),IF(AugerModel="Sinton",CalcImpliedV(SampleDoping,O115),CalcImpliedVRichter(O115,SampleDoping,V115)),"")</f>
        <v>#DIV/0!</v>
      </c>
      <c r="Y115" s="37" t="e">
        <f t="shared" si="68"/>
        <v>#DIV/0!</v>
      </c>
      <c r="Z115" s="41" t="str">
        <f t="shared" si="69"/>
        <v/>
      </c>
    </row>
    <row r="116" spans="1:26">
      <c r="A116" s="53">
        <v>2.75199E-2</v>
      </c>
      <c r="B116" s="53">
        <v>-5.2881300000000005E-4</v>
      </c>
      <c r="C116" s="54">
        <v>-1.23174E-5</v>
      </c>
      <c r="D116" s="58">
        <f>IF(CouplingMode="AC",B116-(A$11-A$10)*SUM(B$9:B116)/0.21,B116)</f>
        <v>-5.2881300000000005E-4</v>
      </c>
      <c r="E116" s="55">
        <f t="shared" si="57"/>
        <v>1.0000000000000001E-5</v>
      </c>
      <c r="F116" s="55">
        <f t="shared" si="58"/>
        <v>1.0000000000000001E-5</v>
      </c>
      <c r="G116" s="56">
        <f t="shared" si="59"/>
        <v>1660424469413.2334</v>
      </c>
      <c r="H116" s="77">
        <f t="shared" si="60"/>
        <v>-1.7144435893873267E-5</v>
      </c>
      <c r="I116" s="56">
        <f t="shared" si="61"/>
        <v>100000</v>
      </c>
      <c r="J116" s="56" t="str">
        <f t="shared" si="62"/>
        <v/>
      </c>
      <c r="K116" s="56">
        <f t="shared" si="63"/>
        <v>100000</v>
      </c>
      <c r="L116" s="51">
        <f t="shared" si="70"/>
        <v>-1000000000000</v>
      </c>
      <c r="M116" s="46" t="str">
        <f t="shared" si="64"/>
        <v/>
      </c>
      <c r="N116" s="46" t="str">
        <f t="shared" si="65"/>
        <v/>
      </c>
      <c r="O116" s="51" t="e">
        <f t="shared" si="66"/>
        <v>#DIV/0!</v>
      </c>
      <c r="P116" s="56">
        <f t="shared" si="71"/>
        <v>3.2100225563909774E-9</v>
      </c>
      <c r="Q116" s="51" t="str">
        <f t="shared" si="72"/>
        <v/>
      </c>
      <c r="R116" s="40" t="str">
        <f t="shared" si="74"/>
        <v/>
      </c>
      <c r="S116" s="57">
        <f>IF(AND(E116&gt;0.95*BiasLight,E116&lt;1.05*BiasLight),"",IF(AugerModel="Sinton",calclifetimeauger(Auger_Coefficient,I116,P116),calclifetimerichter(SampleType,I116,SampleDoping,P116)))</f>
        <v>311524290.69666672</v>
      </c>
      <c r="T116" s="295" t="str">
        <f t="shared" si="73"/>
        <v/>
      </c>
      <c r="U116" s="57" t="e">
        <f t="shared" si="67"/>
        <v>#DIV/0!</v>
      </c>
      <c r="V116" s="40">
        <f>IF(AugerModel="Sinton","",IF(SampleType="n-type",n_intr_boltzmann(SampleDoping,0,K116,298.15),n_intr_boltzmann(0,SampleDoping,K116,298.15)))</f>
        <v>8310848067.6308546</v>
      </c>
      <c r="W116" s="40" t="str">
        <f t="shared" si="50"/>
        <v/>
      </c>
      <c r="X116" s="58" t="e">
        <f>IF(AND(A116&gt;TimeofMaxCD,I116&gt;Traps),IF(AugerModel="Sinton",CalcImpliedV(SampleDoping,O116),CalcImpliedVRichter(O116,SampleDoping,V116)),"")</f>
        <v>#DIV/0!</v>
      </c>
      <c r="Y116" s="37" t="e">
        <f t="shared" si="68"/>
        <v>#DIV/0!</v>
      </c>
      <c r="Z116" s="41" t="str">
        <f t="shared" si="69"/>
        <v/>
      </c>
    </row>
    <row r="117" spans="1:26">
      <c r="A117" s="53">
        <v>2.7775899999999999E-2</v>
      </c>
      <c r="B117" s="53">
        <v>-2.9325500000000002E-4</v>
      </c>
      <c r="C117" s="54">
        <v>3.5747799999999997E-5</v>
      </c>
      <c r="D117" s="58">
        <f>IF(CouplingMode="AC",B117-(A$11-A$10)*SUM(B$9:B117)/0.21,B117)</f>
        <v>-2.9325500000000002E-4</v>
      </c>
      <c r="E117" s="55">
        <f t="shared" si="57"/>
        <v>3.2853033630492927E-3</v>
      </c>
      <c r="F117" s="55">
        <f t="shared" si="58"/>
        <v>3.2853033630492927E-3</v>
      </c>
      <c r="G117" s="56">
        <f t="shared" si="59"/>
        <v>545499809345263.19</v>
      </c>
      <c r="H117" s="77">
        <f t="shared" si="60"/>
        <v>-9.5075219821924573E-6</v>
      </c>
      <c r="I117" s="56">
        <f t="shared" si="61"/>
        <v>100000</v>
      </c>
      <c r="J117" s="56" t="str">
        <f t="shared" si="62"/>
        <v/>
      </c>
      <c r="K117" s="56">
        <f t="shared" si="63"/>
        <v>100000</v>
      </c>
      <c r="L117" s="51">
        <f t="shared" si="70"/>
        <v>-1000000000000</v>
      </c>
      <c r="M117" s="46" t="str">
        <f t="shared" si="64"/>
        <v/>
      </c>
      <c r="N117" s="46" t="str">
        <f t="shared" si="65"/>
        <v/>
      </c>
      <c r="O117" s="51" t="e">
        <f t="shared" si="66"/>
        <v>#DIV/0!</v>
      </c>
      <c r="P117" s="56">
        <f t="shared" si="71"/>
        <v>9.7708558439229143E-12</v>
      </c>
      <c r="Q117" s="51" t="str">
        <f t="shared" si="72"/>
        <v/>
      </c>
      <c r="R117" s="40" t="str">
        <f t="shared" si="74"/>
        <v/>
      </c>
      <c r="S117" s="57">
        <f>IF(AND(E117&gt;0.95*BiasLight,E117&lt;1.05*BiasLight),"",IF(AugerModel="Sinton",calclifetimeauger(Auger_Coefficient,I117,P117),calclifetimerichter(SampleType,I117,SampleDoping,P117)))</f>
        <v>102345179989.73042</v>
      </c>
      <c r="T117" s="295" t="str">
        <f t="shared" si="73"/>
        <v/>
      </c>
      <c r="U117" s="57" t="e">
        <f t="shared" si="67"/>
        <v>#DIV/0!</v>
      </c>
      <c r="V117" s="40">
        <f>IF(AugerModel="Sinton","",IF(SampleType="n-type",n_intr_boltzmann(SampleDoping,0,K117,298.15),n_intr_boltzmann(0,SampleDoping,K117,298.15)))</f>
        <v>8310848067.6308546</v>
      </c>
      <c r="W117" s="40" t="str">
        <f t="shared" si="50"/>
        <v/>
      </c>
      <c r="X117" s="58" t="e">
        <f>IF(AND(A117&gt;TimeofMaxCD,I117&gt;Traps),IF(AugerModel="Sinton",CalcImpliedV(SampleDoping,O117),CalcImpliedVRichter(O117,SampleDoping,V117)),"")</f>
        <v>#DIV/0!</v>
      </c>
      <c r="Y117" s="37" t="e">
        <f t="shared" si="68"/>
        <v>#DIV/0!</v>
      </c>
      <c r="Z117" s="41" t="str">
        <f t="shared" si="69"/>
        <v/>
      </c>
    </row>
    <row r="118" spans="1:26">
      <c r="A118" s="53">
        <v>2.8031899999999998E-2</v>
      </c>
      <c r="B118" s="53">
        <v>-4.3039400000000001E-4</v>
      </c>
      <c r="C118" s="54">
        <v>3.61292E-5</v>
      </c>
      <c r="D118" s="58">
        <f>IF(CouplingMode="AC",B118-(A$11-A$10)*SUM(B$9:B118)/0.21,B118)</f>
        <v>-4.3039400000000001E-4</v>
      </c>
      <c r="E118" s="55">
        <f t="shared" si="57"/>
        <v>3.3203548823782306E-3</v>
      </c>
      <c r="F118" s="55">
        <f t="shared" si="58"/>
        <v>3.3203548823782306E-3</v>
      </c>
      <c r="G118" s="56">
        <f t="shared" si="59"/>
        <v>551319849383651.25</v>
      </c>
      <c r="H118" s="77">
        <f t="shared" si="60"/>
        <v>-1.3953643866825016E-5</v>
      </c>
      <c r="I118" s="56">
        <f t="shared" si="61"/>
        <v>100000</v>
      </c>
      <c r="J118" s="56" t="str">
        <f t="shared" si="62"/>
        <v/>
      </c>
      <c r="K118" s="56">
        <f t="shared" si="63"/>
        <v>100000</v>
      </c>
      <c r="L118" s="51">
        <f t="shared" si="70"/>
        <v>-1000000000000</v>
      </c>
      <c r="M118" s="46" t="str">
        <f t="shared" si="64"/>
        <v/>
      </c>
      <c r="N118" s="46" t="str">
        <f t="shared" si="65"/>
        <v/>
      </c>
      <c r="O118" s="51" t="e">
        <f t="shared" si="66"/>
        <v>#DIV/0!</v>
      </c>
      <c r="P118" s="56">
        <f t="shared" si="71"/>
        <v>9.6677092362240919E-12</v>
      </c>
      <c r="Q118" s="51" t="str">
        <f t="shared" si="72"/>
        <v/>
      </c>
      <c r="R118" s="40" t="str">
        <f t="shared" si="74"/>
        <v/>
      </c>
      <c r="S118" s="57">
        <f>IF(AND(E118&gt;0.95*BiasLight,E118&lt;1.05*BiasLight),"",IF(AugerModel="Sinton",calclifetimeauger(Auger_Coefficient,I118,P118),calclifetimerichter(SampleType,I118,SampleDoping,P118)))</f>
        <v>103437119959.40923</v>
      </c>
      <c r="T118" s="295" t="str">
        <f t="shared" si="73"/>
        <v/>
      </c>
      <c r="U118" s="57" t="e">
        <f t="shared" si="67"/>
        <v>#DIV/0!</v>
      </c>
      <c r="V118" s="40">
        <f>IF(AugerModel="Sinton","",IF(SampleType="n-type",n_intr_boltzmann(SampleDoping,0,K118,298.15),n_intr_boltzmann(0,SampleDoping,K118,298.15)))</f>
        <v>8310848067.6308546</v>
      </c>
      <c r="W118" s="40" t="str">
        <f t="shared" si="50"/>
        <v/>
      </c>
      <c r="X118" s="58" t="e">
        <f>IF(AND(A118&gt;TimeofMaxCD,I118&gt;Traps),IF(AugerModel="Sinton",CalcImpliedV(SampleDoping,O118),CalcImpliedVRichter(O118,SampleDoping,V118)),"")</f>
        <v>#DIV/0!</v>
      </c>
      <c r="Y118" s="37" t="e">
        <f t="shared" si="68"/>
        <v>#DIV/0!</v>
      </c>
      <c r="Z118" s="41" t="str">
        <f t="shared" si="69"/>
        <v/>
      </c>
    </row>
    <row r="119" spans="1:26">
      <c r="A119" s="53">
        <v>2.8287900000000001E-2</v>
      </c>
      <c r="B119" s="53">
        <v>-2.54727E-4</v>
      </c>
      <c r="C119" s="54">
        <v>5.57749E-5</v>
      </c>
      <c r="D119" s="58">
        <f>IF(CouplingMode="AC",B119-(A$11-A$10)*SUM(B$9:B119)/0.21,B119)</f>
        <v>-2.54727E-4</v>
      </c>
      <c r="E119" s="55">
        <f t="shared" si="57"/>
        <v>5.1258389759296519E-3</v>
      </c>
      <c r="F119" s="55">
        <f t="shared" si="58"/>
        <v>5.1258389759296519E-3</v>
      </c>
      <c r="G119" s="56">
        <f t="shared" si="59"/>
        <v>851106846190566.37</v>
      </c>
      <c r="H119" s="77">
        <f t="shared" si="60"/>
        <v>-8.2584212174816041E-6</v>
      </c>
      <c r="I119" s="56">
        <f t="shared" si="61"/>
        <v>100000</v>
      </c>
      <c r="J119" s="56" t="str">
        <f t="shared" si="62"/>
        <v/>
      </c>
      <c r="K119" s="56">
        <f t="shared" si="63"/>
        <v>100000</v>
      </c>
      <c r="L119" s="51">
        <f t="shared" si="70"/>
        <v>-1000000000000</v>
      </c>
      <c r="M119" s="46" t="str">
        <f t="shared" si="64"/>
        <v/>
      </c>
      <c r="N119" s="46" t="str">
        <f t="shared" si="65"/>
        <v/>
      </c>
      <c r="O119" s="51" t="e">
        <f t="shared" si="66"/>
        <v>#DIV/0!</v>
      </c>
      <c r="P119" s="56">
        <f t="shared" si="71"/>
        <v>6.2624334698473227E-12</v>
      </c>
      <c r="Q119" s="51" t="str">
        <f t="shared" si="72"/>
        <v/>
      </c>
      <c r="R119" s="40" t="str">
        <f t="shared" si="74"/>
        <v/>
      </c>
      <c r="S119" s="57">
        <f>IF(AND(E119&gt;0.95*BiasLight,E119&lt;1.05*BiasLight),"",IF(AugerModel="Sinton",calclifetimeauger(Auger_Coefficient,I119,P119),calclifetimerichter(SampleType,I119,SampleDoping,P119)))</f>
        <v>159682335120.1813</v>
      </c>
      <c r="T119" s="295" t="str">
        <f t="shared" si="73"/>
        <v/>
      </c>
      <c r="U119" s="57" t="e">
        <f t="shared" si="67"/>
        <v>#DIV/0!</v>
      </c>
      <c r="V119" s="40">
        <f>IF(AugerModel="Sinton","",IF(SampleType="n-type",n_intr_boltzmann(SampleDoping,0,K119,298.15),n_intr_boltzmann(0,SampleDoping,K119,298.15)))</f>
        <v>8310848067.6308546</v>
      </c>
      <c r="W119" s="40" t="str">
        <f t="shared" si="50"/>
        <v/>
      </c>
      <c r="X119" s="58" t="e">
        <f>IF(AND(A119&gt;TimeofMaxCD,I119&gt;Traps),IF(AugerModel="Sinton",CalcImpliedV(SampleDoping,O119),CalcImpliedVRichter(O119,SampleDoping,V119)),"")</f>
        <v>#DIV/0!</v>
      </c>
      <c r="Y119" s="37" t="e">
        <f t="shared" si="68"/>
        <v>#DIV/0!</v>
      </c>
      <c r="Z119" s="41" t="str">
        <f t="shared" si="69"/>
        <v/>
      </c>
    </row>
    <row r="120" spans="1:26">
      <c r="A120" s="53">
        <v>2.8543900000000001E-2</v>
      </c>
      <c r="B120" s="53">
        <v>-4.1189200000000002E-4</v>
      </c>
      <c r="C120" s="54">
        <v>2.6974E-5</v>
      </c>
      <c r="D120" s="58">
        <f>IF(CouplingMode="AC",B120-(A$11-A$10)*SUM(B$9:B120)/0.21,B120)</f>
        <v>-4.1189200000000002E-4</v>
      </c>
      <c r="E120" s="55">
        <f t="shared" si="57"/>
        <v>2.478971374878779E-3</v>
      </c>
      <c r="F120" s="55">
        <f t="shared" si="58"/>
        <v>2.478971374878779E-3</v>
      </c>
      <c r="G120" s="56">
        <f t="shared" si="59"/>
        <v>411614472982369</v>
      </c>
      <c r="H120" s="77">
        <f t="shared" si="60"/>
        <v>-1.3353799421481072E-5</v>
      </c>
      <c r="I120" s="56">
        <f t="shared" si="61"/>
        <v>100000</v>
      </c>
      <c r="J120" s="56" t="str">
        <f t="shared" si="62"/>
        <v/>
      </c>
      <c r="K120" s="56">
        <f t="shared" si="63"/>
        <v>100000</v>
      </c>
      <c r="L120" s="51">
        <f t="shared" si="70"/>
        <v>-1000000000000</v>
      </c>
      <c r="M120" s="46" t="str">
        <f t="shared" si="64"/>
        <v/>
      </c>
      <c r="N120" s="46" t="str">
        <f t="shared" si="65"/>
        <v/>
      </c>
      <c r="O120" s="51" t="e">
        <f t="shared" si="66"/>
        <v>#DIV/0!</v>
      </c>
      <c r="P120" s="56">
        <f t="shared" si="71"/>
        <v>1.2949010177852284E-11</v>
      </c>
      <c r="Q120" s="51" t="str">
        <f t="shared" si="72"/>
        <v/>
      </c>
      <c r="R120" s="40" t="str">
        <f t="shared" si="74"/>
        <v/>
      </c>
      <c r="S120" s="57">
        <f>IF(AND(E120&gt;0.95*BiasLight,E120&lt;1.05*BiasLight),"",IF(AugerModel="Sinton",calclifetimeauger(Auger_Coefficient,I120,P120),calclifetimerichter(SampleType,I120,SampleDoping,P120)))</f>
        <v>77225979921.645218</v>
      </c>
      <c r="T120" s="295" t="str">
        <f t="shared" si="73"/>
        <v/>
      </c>
      <c r="U120" s="57" t="e">
        <f t="shared" si="67"/>
        <v>#DIV/0!</v>
      </c>
      <c r="V120" s="40">
        <f>IF(AugerModel="Sinton","",IF(SampleType="n-type",n_intr_boltzmann(SampleDoping,0,K120,298.15),n_intr_boltzmann(0,SampleDoping,K120,298.15)))</f>
        <v>8310848067.6308546</v>
      </c>
      <c r="W120" s="40" t="str">
        <f t="shared" si="50"/>
        <v/>
      </c>
      <c r="X120" s="58" t="e">
        <f>IF(AND(A120&gt;TimeofMaxCD,I120&gt;Traps),IF(AugerModel="Sinton",CalcImpliedV(SampleDoping,O120),CalcImpliedVRichter(O120,SampleDoping,V120)),"")</f>
        <v>#DIV/0!</v>
      </c>
      <c r="Y120" s="37" t="e">
        <f t="shared" si="68"/>
        <v>#DIV/0!</v>
      </c>
      <c r="Z120" s="41" t="str">
        <f t="shared" si="69"/>
        <v/>
      </c>
    </row>
    <row r="121" spans="1:26">
      <c r="A121" s="53">
        <v>2.87999E-2</v>
      </c>
      <c r="B121" s="53">
        <v>-1.9807900000000001E-4</v>
      </c>
      <c r="C121" s="54">
        <v>6.5653200000000002E-6</v>
      </c>
      <c r="D121" s="58">
        <f>IF(CouplingMode="AC",B121-(A$11-A$10)*SUM(B$9:B121)/0.21,B121)</f>
        <v>-1.9807900000000001E-4</v>
      </c>
      <c r="E121" s="55">
        <f t="shared" si="57"/>
        <v>6.0336770026392633E-4</v>
      </c>
      <c r="F121" s="55">
        <f t="shared" si="58"/>
        <v>6.0336770026392633E-4</v>
      </c>
      <c r="G121" s="56">
        <f t="shared" si="59"/>
        <v>100184649357181.28</v>
      </c>
      <c r="H121" s="77">
        <f t="shared" si="60"/>
        <v>-6.4218578056732256E-6</v>
      </c>
      <c r="I121" s="56">
        <f t="shared" si="61"/>
        <v>100000</v>
      </c>
      <c r="J121" s="56" t="str">
        <f t="shared" si="62"/>
        <v/>
      </c>
      <c r="K121" s="56">
        <f t="shared" si="63"/>
        <v>100000</v>
      </c>
      <c r="L121" s="51">
        <f t="shared" si="70"/>
        <v>-1000000000000</v>
      </c>
      <c r="M121" s="46" t="str">
        <f t="shared" si="64"/>
        <v/>
      </c>
      <c r="N121" s="46" t="str">
        <f t="shared" si="65"/>
        <v/>
      </c>
      <c r="O121" s="51" t="e">
        <f t="shared" si="66"/>
        <v>#DIV/0!</v>
      </c>
      <c r="P121" s="56">
        <f t="shared" si="71"/>
        <v>5.320176328608314E-11</v>
      </c>
      <c r="Q121" s="51" t="str">
        <f t="shared" si="72"/>
        <v/>
      </c>
      <c r="R121" s="40" t="str">
        <f t="shared" si="74"/>
        <v/>
      </c>
      <c r="S121" s="57">
        <f>IF(AND(E121&gt;0.95*BiasLight,E121&lt;1.05*BiasLight),"",IF(AugerModel="Sinton",calclifetimeauger(Auger_Coefficient,I121,P121),calclifetimerichter(SampleType,I121,SampleDoping,P121)))</f>
        <v>18796369485.399864</v>
      </c>
      <c r="T121" s="295" t="str">
        <f t="shared" si="73"/>
        <v/>
      </c>
      <c r="U121" s="57" t="e">
        <f t="shared" si="67"/>
        <v>#DIV/0!</v>
      </c>
      <c r="V121" s="40">
        <f>IF(AugerModel="Sinton","",IF(SampleType="n-type",n_intr_boltzmann(SampleDoping,0,K121,298.15),n_intr_boltzmann(0,SampleDoping,K121,298.15)))</f>
        <v>8310848067.6308546</v>
      </c>
      <c r="W121" s="40" t="str">
        <f t="shared" si="50"/>
        <v/>
      </c>
      <c r="X121" s="58" t="e">
        <f>IF(AND(A121&gt;TimeofMaxCD,I121&gt;Traps),IF(AugerModel="Sinton",CalcImpliedV(SampleDoping,O121),CalcImpliedVRichter(O121,SampleDoping,V121)),"")</f>
        <v>#DIV/0!</v>
      </c>
      <c r="Y121" s="37" t="e">
        <f t="shared" si="68"/>
        <v>#DIV/0!</v>
      </c>
      <c r="Z121" s="41" t="str">
        <f t="shared" si="69"/>
        <v/>
      </c>
    </row>
    <row r="122" spans="1:26">
      <c r="A122" s="53">
        <v>2.9055899999999999E-2</v>
      </c>
      <c r="B122" s="53">
        <v>-3.9758699999999997E-4</v>
      </c>
      <c r="C122" s="54">
        <v>5.7110100000000001E-5</v>
      </c>
      <c r="D122" s="58">
        <f>IF(CouplingMode="AC",B122-(A$11-A$10)*SUM(B$9:B122)/0.21,B122)</f>
        <v>-3.9758699999999997E-4</v>
      </c>
      <c r="E122" s="55">
        <f t="shared" si="57"/>
        <v>5.2485468642568612E-3</v>
      </c>
      <c r="F122" s="55">
        <f t="shared" si="58"/>
        <v>5.2485468642568612E-3</v>
      </c>
      <c r="G122" s="56">
        <f t="shared" si="59"/>
        <v>871481564227418.87</v>
      </c>
      <c r="H122" s="77">
        <f t="shared" si="60"/>
        <v>-1.2890023770723014E-5</v>
      </c>
      <c r="I122" s="56">
        <f t="shared" si="61"/>
        <v>100000</v>
      </c>
      <c r="J122" s="56" t="str">
        <f t="shared" si="62"/>
        <v/>
      </c>
      <c r="K122" s="56">
        <f t="shared" si="63"/>
        <v>100000</v>
      </c>
      <c r="L122" s="51">
        <f t="shared" si="70"/>
        <v>-1000000000000</v>
      </c>
      <c r="M122" s="46" t="str">
        <f t="shared" si="64"/>
        <v/>
      </c>
      <c r="N122" s="46" t="str">
        <f t="shared" si="65"/>
        <v/>
      </c>
      <c r="O122" s="51" t="e">
        <f t="shared" si="66"/>
        <v>#DIV/0!</v>
      </c>
      <c r="P122" s="56">
        <f t="shared" si="71"/>
        <v>6.1160215187398976E-12</v>
      </c>
      <c r="Q122" s="51" t="str">
        <f t="shared" si="72"/>
        <v/>
      </c>
      <c r="R122" s="40" t="str">
        <f t="shared" si="74"/>
        <v/>
      </c>
      <c r="S122" s="57">
        <f>IF(AND(E122&gt;0.95*BiasLight,E122&lt;1.05*BiasLight),"",IF(AugerModel="Sinton",calclifetimeauger(Auger_Coefficient,I122,P122),calclifetimerichter(SampleType,I122,SampleDoping,P122)))</f>
        <v>163504983907.58328</v>
      </c>
      <c r="T122" s="295" t="str">
        <f t="shared" si="73"/>
        <v/>
      </c>
      <c r="U122" s="57" t="e">
        <f t="shared" si="67"/>
        <v>#DIV/0!</v>
      </c>
      <c r="V122" s="40">
        <f>IF(AugerModel="Sinton","",IF(SampleType="n-type",n_intr_boltzmann(SampleDoping,0,K122,298.15),n_intr_boltzmann(0,SampleDoping,K122,298.15)))</f>
        <v>8310848067.6308546</v>
      </c>
      <c r="W122" s="40" t="str">
        <f t="shared" si="50"/>
        <v/>
      </c>
      <c r="X122" s="58" t="e">
        <f>IF(AND(A122&gt;TimeofMaxCD,I122&gt;Traps),IF(AugerModel="Sinton",CalcImpliedV(SampleDoping,O122),CalcImpliedVRichter(O122,SampleDoping,V122)),"")</f>
        <v>#DIV/0!</v>
      </c>
      <c r="Y122" s="37" t="e">
        <f t="shared" si="68"/>
        <v>#DIV/0!</v>
      </c>
      <c r="Z122" s="41" t="str">
        <f t="shared" si="69"/>
        <v/>
      </c>
    </row>
    <row r="123" spans="1:26">
      <c r="A123" s="53">
        <v>2.9311899999999998E-2</v>
      </c>
      <c r="B123" s="53">
        <v>-5.5036600000000005E-4</v>
      </c>
      <c r="C123" s="54">
        <v>-1.9756099999999999E-5</v>
      </c>
      <c r="D123" s="58">
        <f>IF(CouplingMode="AC",B123-(A$11-A$10)*SUM(B$9:B123)/0.21,B123)</f>
        <v>-5.5036600000000005E-4</v>
      </c>
      <c r="E123" s="55">
        <f t="shared" si="57"/>
        <v>1.0000000000000001E-5</v>
      </c>
      <c r="F123" s="55">
        <f t="shared" si="58"/>
        <v>1.0000000000000001E-5</v>
      </c>
      <c r="G123" s="56">
        <f t="shared" si="59"/>
        <v>1660424469413.2334</v>
      </c>
      <c r="H123" s="77">
        <f t="shared" si="60"/>
        <v>-1.7843193991035067E-5</v>
      </c>
      <c r="I123" s="56">
        <f t="shared" si="61"/>
        <v>100000</v>
      </c>
      <c r="J123" s="56" t="str">
        <f t="shared" si="62"/>
        <v/>
      </c>
      <c r="K123" s="56">
        <f t="shared" si="63"/>
        <v>100000</v>
      </c>
      <c r="L123" s="51">
        <f t="shared" si="70"/>
        <v>-1000000000000</v>
      </c>
      <c r="M123" s="46" t="str">
        <f t="shared" si="64"/>
        <v/>
      </c>
      <c r="N123" s="46" t="str">
        <f t="shared" si="65"/>
        <v/>
      </c>
      <c r="O123" s="51" t="e">
        <f t="shared" si="66"/>
        <v>#DIV/0!</v>
      </c>
      <c r="P123" s="56">
        <f t="shared" si="71"/>
        <v>3.2100225563909774E-9</v>
      </c>
      <c r="Q123" s="51" t="str">
        <f t="shared" si="72"/>
        <v/>
      </c>
      <c r="R123" s="40" t="str">
        <f t="shared" si="74"/>
        <v/>
      </c>
      <c r="S123" s="57">
        <f>IF(AND(E123&gt;0.95*BiasLight,E123&lt;1.05*BiasLight),"",IF(AugerModel="Sinton",calclifetimeauger(Auger_Coefficient,I123,P123),calclifetimerichter(SampleType,I123,SampleDoping,P123)))</f>
        <v>311524290.69666672</v>
      </c>
      <c r="T123" s="295" t="str">
        <f t="shared" si="73"/>
        <v/>
      </c>
      <c r="U123" s="57" t="e">
        <f t="shared" si="67"/>
        <v>#DIV/0!</v>
      </c>
      <c r="V123" s="40">
        <f>IF(AugerModel="Sinton","",IF(SampleType="n-type",n_intr_boltzmann(SampleDoping,0,K123,298.15),n_intr_boltzmann(0,SampleDoping,K123,298.15)))</f>
        <v>8310848067.6308546</v>
      </c>
      <c r="W123" s="40" t="str">
        <f t="shared" si="50"/>
        <v/>
      </c>
      <c r="X123" s="58" t="e">
        <f>IF(AND(A123&gt;TimeofMaxCD,I123&gt;Traps),IF(AugerModel="Sinton",CalcImpliedV(SampleDoping,O123),CalcImpliedVRichter(O123,SampleDoping,V123)),"")</f>
        <v>#DIV/0!</v>
      </c>
      <c r="Y123" s="37" t="e">
        <f t="shared" si="68"/>
        <v>#DIV/0!</v>
      </c>
      <c r="Z123" s="41" t="str">
        <f t="shared" si="69"/>
        <v/>
      </c>
    </row>
    <row r="124" spans="1:26">
      <c r="A124" s="53">
        <v>2.9567900000000001E-2</v>
      </c>
      <c r="B124" s="53">
        <v>-4.22574E-4</v>
      </c>
      <c r="C124" s="54">
        <v>2.14426E-5</v>
      </c>
      <c r="D124" s="58">
        <f>IF(CouplingMode="AC",B124-(A$11-A$10)*SUM(B$9:B124)/0.21,B124)</f>
        <v>-4.22574E-4</v>
      </c>
      <c r="E124" s="55">
        <f t="shared" si="57"/>
        <v>1.9706232521307819E-3</v>
      </c>
      <c r="F124" s="55">
        <f t="shared" si="58"/>
        <v>1.9706232521307819E-3</v>
      </c>
      <c r="G124" s="56">
        <f t="shared" si="59"/>
        <v>327207106783263.37</v>
      </c>
      <c r="H124" s="77">
        <f t="shared" si="60"/>
        <v>-1.3700115429178539E-5</v>
      </c>
      <c r="I124" s="56">
        <f t="shared" si="61"/>
        <v>100000</v>
      </c>
      <c r="J124" s="56" t="str">
        <f t="shared" si="62"/>
        <v/>
      </c>
      <c r="K124" s="56">
        <f t="shared" si="63"/>
        <v>100000</v>
      </c>
      <c r="L124" s="51">
        <f t="shared" si="70"/>
        <v>-1000000000000</v>
      </c>
      <c r="M124" s="46" t="str">
        <f t="shared" si="64"/>
        <v/>
      </c>
      <c r="N124" s="46" t="str">
        <f t="shared" si="65"/>
        <v/>
      </c>
      <c r="O124" s="51" t="e">
        <f t="shared" si="66"/>
        <v>#DIV/0!</v>
      </c>
      <c r="P124" s="56">
        <f t="shared" si="71"/>
        <v>1.6289377246107631E-11</v>
      </c>
      <c r="Q124" s="51" t="str">
        <f t="shared" si="72"/>
        <v/>
      </c>
      <c r="R124" s="40" t="str">
        <f t="shared" si="74"/>
        <v/>
      </c>
      <c r="S124" s="57">
        <f>IF(AND(E124&gt;0.95*BiasLight,E124&lt;1.05*BiasLight),"",IF(AugerModel="Sinton",calclifetimeauger(Auger_Coefficient,I124,P124),calclifetimerichter(SampleType,I124,SampleDoping,P124)))</f>
        <v>61389701085.040031</v>
      </c>
      <c r="T124" s="295" t="str">
        <f t="shared" si="73"/>
        <v/>
      </c>
      <c r="U124" s="57" t="e">
        <f t="shared" si="67"/>
        <v>#DIV/0!</v>
      </c>
      <c r="V124" s="40">
        <f>IF(AugerModel="Sinton","",IF(SampleType="n-type",n_intr_boltzmann(SampleDoping,0,K124,298.15),n_intr_boltzmann(0,SampleDoping,K124,298.15)))</f>
        <v>8310848067.6308546</v>
      </c>
      <c r="W124" s="40" t="str">
        <f t="shared" si="50"/>
        <v/>
      </c>
      <c r="X124" s="58" t="e">
        <f>IF(AND(A124&gt;TimeofMaxCD,I124&gt;Traps),IF(AugerModel="Sinton",CalcImpliedV(SampleDoping,O124),CalcImpliedVRichter(O124,SampleDoping,V124)),"")</f>
        <v>#DIV/0!</v>
      </c>
      <c r="Y124" s="37" t="e">
        <f t="shared" si="68"/>
        <v>#DIV/0!</v>
      </c>
      <c r="Z124" s="41" t="str">
        <f t="shared" si="69"/>
        <v/>
      </c>
    </row>
    <row r="125" spans="1:26">
      <c r="A125" s="53">
        <v>2.98239E-2</v>
      </c>
      <c r="B125" s="53">
        <v>-2.4728800000000002E-4</v>
      </c>
      <c r="C125" s="54">
        <v>1.6674300000000001E-5</v>
      </c>
      <c r="D125" s="58">
        <f>IF(CouplingMode="AC",B125-(A$11-A$10)*SUM(B$9:B125)/0.21,B125)</f>
        <v>-2.4728800000000002E-4</v>
      </c>
      <c r="E125" s="55">
        <f t="shared" si="57"/>
        <v>1.5324057387165874E-3</v>
      </c>
      <c r="F125" s="55">
        <f t="shared" si="58"/>
        <v>1.5324057387165874E-3</v>
      </c>
      <c r="G125" s="56">
        <f t="shared" si="59"/>
        <v>254444398563428.34</v>
      </c>
      <c r="H125" s="77">
        <f t="shared" si="60"/>
        <v>-8.0172443051654274E-6</v>
      </c>
      <c r="I125" s="56">
        <f t="shared" si="61"/>
        <v>100000</v>
      </c>
      <c r="J125" s="56" t="str">
        <f t="shared" si="62"/>
        <v/>
      </c>
      <c r="K125" s="56">
        <f t="shared" si="63"/>
        <v>100000</v>
      </c>
      <c r="L125" s="51">
        <f t="shared" si="70"/>
        <v>-1000000000000</v>
      </c>
      <c r="M125" s="46" t="str">
        <f t="shared" si="64"/>
        <v/>
      </c>
      <c r="N125" s="46" t="str">
        <f t="shared" si="65"/>
        <v/>
      </c>
      <c r="O125" s="51" t="e">
        <f t="shared" si="66"/>
        <v>#DIV/0!</v>
      </c>
      <c r="P125" s="56">
        <f t="shared" si="71"/>
        <v>2.0947602030513272E-11</v>
      </c>
      <c r="Q125" s="51" t="str">
        <f t="shared" si="72"/>
        <v/>
      </c>
      <c r="R125" s="40" t="str">
        <f t="shared" si="74"/>
        <v/>
      </c>
      <c r="S125" s="57">
        <f>IF(AND(E125&gt;0.95*BiasLight,E125&lt;1.05*BiasLight),"",IF(AugerModel="Sinton",calclifetimeauger(Auger_Coefficient,I125,P125),calclifetimerichter(SampleType,I125,SampleDoping,P125)))</f>
        <v>47738161081.318642</v>
      </c>
      <c r="T125" s="295" t="str">
        <f t="shared" si="73"/>
        <v/>
      </c>
      <c r="U125" s="57" t="e">
        <f t="shared" si="67"/>
        <v>#DIV/0!</v>
      </c>
      <c r="V125" s="40">
        <f>IF(AugerModel="Sinton","",IF(SampleType="n-type",n_intr_boltzmann(SampleDoping,0,K125,298.15),n_intr_boltzmann(0,SampleDoping,K125,298.15)))</f>
        <v>8310848067.6308546</v>
      </c>
      <c r="W125" s="40" t="str">
        <f t="shared" si="50"/>
        <v/>
      </c>
      <c r="X125" s="58" t="e">
        <f>IF(AND(A125&gt;TimeofMaxCD,I125&gt;Traps),IF(AugerModel="Sinton",CalcImpliedV(SampleDoping,O125),CalcImpliedVRichter(O125,SampleDoping,V125)),"")</f>
        <v>#DIV/0!</v>
      </c>
      <c r="Y125" s="37" t="e">
        <f t="shared" si="68"/>
        <v>#DIV/0!</v>
      </c>
      <c r="Z125" s="41" t="str">
        <f t="shared" si="69"/>
        <v/>
      </c>
    </row>
    <row r="126" spans="1:26">
      <c r="A126" s="53">
        <v>3.00799E-2</v>
      </c>
      <c r="B126" s="53">
        <v>-4.2181100000000002E-4</v>
      </c>
      <c r="C126" s="54">
        <v>1.1905900000000001E-5</v>
      </c>
      <c r="D126" s="58">
        <f>IF(CouplingMode="AC",B126-(A$11-A$10)*SUM(B$9:B126)/0.21,B126)</f>
        <v>-4.2181100000000002E-4</v>
      </c>
      <c r="E126" s="55">
        <f t="shared" si="57"/>
        <v>1.0941790350770838E-3</v>
      </c>
      <c r="F126" s="55">
        <f t="shared" si="58"/>
        <v>1.0941790350770838E-3</v>
      </c>
      <c r="G126" s="56">
        <f t="shared" si="59"/>
        <v>181680164376095.06</v>
      </c>
      <c r="H126" s="77">
        <f t="shared" si="60"/>
        <v>-1.3675378573489716E-5</v>
      </c>
      <c r="I126" s="56">
        <f t="shared" si="61"/>
        <v>100000</v>
      </c>
      <c r="J126" s="56" t="str">
        <f t="shared" si="62"/>
        <v/>
      </c>
      <c r="K126" s="56">
        <f t="shared" si="63"/>
        <v>100000</v>
      </c>
      <c r="L126" s="51">
        <f t="shared" si="70"/>
        <v>-1000000000000</v>
      </c>
      <c r="M126" s="46" t="str">
        <f t="shared" si="64"/>
        <v/>
      </c>
      <c r="N126" s="46" t="str">
        <f t="shared" si="65"/>
        <v/>
      </c>
      <c r="O126" s="51" t="e">
        <f t="shared" si="66"/>
        <v>#DIV/0!</v>
      </c>
      <c r="P126" s="56">
        <f t="shared" si="71"/>
        <v>2.9337269802147458E-11</v>
      </c>
      <c r="Q126" s="51" t="str">
        <f t="shared" si="72"/>
        <v/>
      </c>
      <c r="R126" s="40" t="str">
        <f t="shared" si="74"/>
        <v/>
      </c>
      <c r="S126" s="57">
        <f>IF(AND(E126&gt;0.95*BiasLight,E126&lt;1.05*BiasLight),"",IF(AugerModel="Sinton",calclifetimeauger(Auger_Coefficient,I126,P126),calclifetimerichter(SampleType,I126,SampleDoping,P126)))</f>
        <v>34086334779.755173</v>
      </c>
      <c r="T126" s="295" t="str">
        <f t="shared" si="73"/>
        <v/>
      </c>
      <c r="U126" s="57" t="e">
        <f t="shared" si="67"/>
        <v>#DIV/0!</v>
      </c>
      <c r="V126" s="40">
        <f>IF(AugerModel="Sinton","",IF(SampleType="n-type",n_intr_boltzmann(SampleDoping,0,K126,298.15),n_intr_boltzmann(0,SampleDoping,K126,298.15)))</f>
        <v>8310848067.6308546</v>
      </c>
      <c r="W126" s="40" t="str">
        <f t="shared" si="50"/>
        <v/>
      </c>
      <c r="X126" s="58" t="e">
        <f>IF(AND(A126&gt;TimeofMaxCD,I126&gt;Traps),IF(AugerModel="Sinton",CalcImpliedV(SampleDoping,O126),CalcImpliedVRichter(O126,SampleDoping,V126)),"")</f>
        <v>#DIV/0!</v>
      </c>
      <c r="Y126" s="37" t="e">
        <f t="shared" si="68"/>
        <v>#DIV/0!</v>
      </c>
      <c r="Z126" s="41" t="str">
        <f t="shared" si="69"/>
        <v/>
      </c>
    </row>
    <row r="127" spans="1:26">
      <c r="A127" s="53">
        <v>3.0335899999999999E-2</v>
      </c>
      <c r="B127" s="53">
        <v>-5.8984800000000002E-4</v>
      </c>
      <c r="C127" s="54">
        <v>1.60621E-6</v>
      </c>
      <c r="D127" s="58">
        <f>IF(CouplingMode="AC",B127-(A$11-A$10)*SUM(B$9:B127)/0.21,B127)</f>
        <v>-5.8984800000000002E-4</v>
      </c>
      <c r="E127" s="55">
        <f t="shared" si="57"/>
        <v>1.4761431793742285E-4</v>
      </c>
      <c r="F127" s="55">
        <f t="shared" si="58"/>
        <v>1.4761431793742285E-4</v>
      </c>
      <c r="G127" s="56">
        <f t="shared" si="59"/>
        <v>24510242553904.164</v>
      </c>
      <c r="H127" s="77">
        <f t="shared" si="60"/>
        <v>-1.9123217813145355E-5</v>
      </c>
      <c r="I127" s="56">
        <f t="shared" si="61"/>
        <v>100000</v>
      </c>
      <c r="J127" s="56" t="str">
        <f t="shared" si="62"/>
        <v/>
      </c>
      <c r="K127" s="56">
        <f t="shared" si="63"/>
        <v>100000</v>
      </c>
      <c r="L127" s="51">
        <f t="shared" si="70"/>
        <v>-1000000000000</v>
      </c>
      <c r="M127" s="46" t="str">
        <f t="shared" si="64"/>
        <v/>
      </c>
      <c r="N127" s="46" t="str">
        <f t="shared" si="65"/>
        <v/>
      </c>
      <c r="O127" s="51" t="e">
        <f t="shared" si="66"/>
        <v>#DIV/0!</v>
      </c>
      <c r="P127" s="56">
        <f t="shared" si="71"/>
        <v>2.1746010829056443E-10</v>
      </c>
      <c r="Q127" s="51" t="str">
        <f t="shared" si="72"/>
        <v/>
      </c>
      <c r="R127" s="40" t="str">
        <f t="shared" si="74"/>
        <v/>
      </c>
      <c r="S127" s="57">
        <f>IF(AND(E127&gt;0.95*BiasLight,E127&lt;1.05*BiasLight),"",IF(AugerModel="Sinton",calclifetimeauger(Auger_Coefficient,I127,P127),calclifetimerichter(SampleType,I127,SampleDoping,P127)))</f>
        <v>4598544569.2127886</v>
      </c>
      <c r="T127" s="295" t="str">
        <f t="shared" si="73"/>
        <v/>
      </c>
      <c r="U127" s="57" t="e">
        <f t="shared" si="67"/>
        <v>#DIV/0!</v>
      </c>
      <c r="V127" s="40">
        <f>IF(AugerModel="Sinton","",IF(SampleType="n-type",n_intr_boltzmann(SampleDoping,0,K127,298.15),n_intr_boltzmann(0,SampleDoping,K127,298.15)))</f>
        <v>8310848067.6308546</v>
      </c>
      <c r="W127" s="40" t="str">
        <f t="shared" si="50"/>
        <v/>
      </c>
      <c r="X127" s="58" t="e">
        <f>IF(AND(A127&gt;TimeofMaxCD,I127&gt;Traps),IF(AugerModel="Sinton",CalcImpliedV(SampleDoping,O127),CalcImpliedVRichter(O127,SampleDoping,V127)),"")</f>
        <v>#DIV/0!</v>
      </c>
      <c r="Y127" s="37" t="e">
        <f t="shared" si="68"/>
        <v>#DIV/0!</v>
      </c>
      <c r="Z127" s="41" t="str">
        <f t="shared" si="69"/>
        <v/>
      </c>
    </row>
    <row r="128" spans="1:26">
      <c r="A128" s="53">
        <v>3.0591900000000002E-2</v>
      </c>
      <c r="B128" s="53">
        <v>-2.9668899999999999E-4</v>
      </c>
      <c r="C128" s="54">
        <v>1.7627900000000001E-5</v>
      </c>
      <c r="D128" s="58">
        <f>IF(CouplingMode="AC",B128-(A$11-A$10)*SUM(B$9:B128)/0.21,B128)</f>
        <v>-2.9668899999999999E-4</v>
      </c>
      <c r="E128" s="55">
        <f t="shared" si="57"/>
        <v>1.6200437272642408E-3</v>
      </c>
      <c r="F128" s="55">
        <f t="shared" si="58"/>
        <v>1.6200437272642408E-3</v>
      </c>
      <c r="G128" s="56">
        <f t="shared" si="59"/>
        <v>268996024626896.37</v>
      </c>
      <c r="H128" s="77">
        <f t="shared" si="60"/>
        <v>-9.6188542744526928E-6</v>
      </c>
      <c r="I128" s="56">
        <f t="shared" si="61"/>
        <v>100000</v>
      </c>
      <c r="J128" s="56" t="str">
        <f t="shared" si="62"/>
        <v/>
      </c>
      <c r="K128" s="56">
        <f t="shared" si="63"/>
        <v>100000</v>
      </c>
      <c r="L128" s="51">
        <f t="shared" si="70"/>
        <v>-1000000000000</v>
      </c>
      <c r="M128" s="46" t="str">
        <f t="shared" si="64"/>
        <v/>
      </c>
      <c r="N128" s="46" t="str">
        <f t="shared" si="65"/>
        <v/>
      </c>
      <c r="O128" s="51" t="e">
        <f t="shared" si="66"/>
        <v>#DIV/0!</v>
      </c>
      <c r="P128" s="56">
        <f t="shared" si="71"/>
        <v>1.9814419218249904E-11</v>
      </c>
      <c r="Q128" s="51" t="str">
        <f t="shared" si="72"/>
        <v/>
      </c>
      <c r="R128" s="40" t="str">
        <f t="shared" si="74"/>
        <v/>
      </c>
      <c r="S128" s="57">
        <f>IF(AND(E128&gt;0.95*BiasLight,E128&lt;1.05*BiasLight),"",IF(AugerModel="Sinton",calclifetimeauger(Auger_Coefficient,I128,P128),calclifetimerichter(SampleType,I128,SampleDoping,P128)))</f>
        <v>50468297303.357666</v>
      </c>
      <c r="T128" s="295" t="str">
        <f t="shared" si="73"/>
        <v/>
      </c>
      <c r="U128" s="57" t="e">
        <f t="shared" si="67"/>
        <v>#DIV/0!</v>
      </c>
      <c r="V128" s="40">
        <f>IF(AugerModel="Sinton","",IF(SampleType="n-type",n_intr_boltzmann(SampleDoping,0,K128,298.15),n_intr_boltzmann(0,SampleDoping,K128,298.15)))</f>
        <v>8310848067.6308546</v>
      </c>
      <c r="W128" s="40" t="str">
        <f t="shared" si="50"/>
        <v/>
      </c>
      <c r="X128" s="58" t="e">
        <f>IF(AND(A128&gt;TimeofMaxCD,I128&gt;Traps),IF(AugerModel="Sinton",CalcImpliedV(SampleDoping,O128),CalcImpliedVRichter(O128,SampleDoping,V128)),"")</f>
        <v>#DIV/0!</v>
      </c>
      <c r="Y128" s="37" t="e">
        <f t="shared" si="68"/>
        <v>#DIV/0!</v>
      </c>
      <c r="Z128" s="41" t="str">
        <f t="shared" si="69"/>
        <v/>
      </c>
    </row>
    <row r="129" spans="1:26">
      <c r="A129" s="53">
        <v>3.0847900000000001E-2</v>
      </c>
      <c r="B129" s="53">
        <v>-2.8925000000000001E-4</v>
      </c>
      <c r="C129" s="54">
        <v>2.22056E-5</v>
      </c>
      <c r="D129" s="58">
        <f>IF(CouplingMode="AC",B129-(A$11-A$10)*SUM(B$9:B129)/0.21,B129)</f>
        <v>-2.8925000000000001E-4</v>
      </c>
      <c r="E129" s="55">
        <f t="shared" si="57"/>
        <v>2.0407446712392757E-3</v>
      </c>
      <c r="F129" s="55">
        <f t="shared" si="58"/>
        <v>2.0407446712392757E-3</v>
      </c>
      <c r="G129" s="56">
        <f t="shared" si="59"/>
        <v>338850238795035.75</v>
      </c>
      <c r="H129" s="77">
        <f t="shared" si="60"/>
        <v>-9.3776775274626023E-6</v>
      </c>
      <c r="I129" s="56">
        <f t="shared" si="61"/>
        <v>100000</v>
      </c>
      <c r="J129" s="56" t="str">
        <f t="shared" si="62"/>
        <v/>
      </c>
      <c r="K129" s="56">
        <f t="shared" si="63"/>
        <v>100000</v>
      </c>
      <c r="L129" s="51">
        <f t="shared" si="70"/>
        <v>-1000000000000</v>
      </c>
      <c r="M129" s="46" t="str">
        <f t="shared" si="64"/>
        <v/>
      </c>
      <c r="N129" s="46" t="str">
        <f t="shared" si="65"/>
        <v/>
      </c>
      <c r="O129" s="51" t="e">
        <f t="shared" si="66"/>
        <v>#DIV/0!</v>
      </c>
      <c r="P129" s="56">
        <f t="shared" si="71"/>
        <v>1.5729662811965784E-11</v>
      </c>
      <c r="Q129" s="51" t="str">
        <f t="shared" si="72"/>
        <v/>
      </c>
      <c r="R129" s="40" t="str">
        <f t="shared" si="74"/>
        <v/>
      </c>
      <c r="S129" s="57">
        <f>IF(AND(E129&gt;0.95*BiasLight,E129&lt;1.05*BiasLight),"",IF(AugerModel="Sinton",calclifetimeauger(Auger_Coefficient,I129,P129),calclifetimerichter(SampleType,I129,SampleDoping,P129)))</f>
        <v>63574153620.081764</v>
      </c>
      <c r="T129" s="295" t="str">
        <f t="shared" si="73"/>
        <v/>
      </c>
      <c r="U129" s="57" t="e">
        <f t="shared" si="67"/>
        <v>#DIV/0!</v>
      </c>
      <c r="V129" s="40">
        <f>IF(AugerModel="Sinton","",IF(SampleType="n-type",n_intr_boltzmann(SampleDoping,0,K129,298.15),n_intr_boltzmann(0,SampleDoping,K129,298.15)))</f>
        <v>8310848067.6308546</v>
      </c>
      <c r="W129" s="40" t="str">
        <f t="shared" si="50"/>
        <v/>
      </c>
      <c r="X129" s="58" t="e">
        <f>IF(AND(A129&gt;TimeofMaxCD,I129&gt;Traps),IF(AugerModel="Sinton",CalcImpliedV(SampleDoping,O129),CalcImpliedVRichter(O129,SampleDoping,V129)),"")</f>
        <v>#DIV/0!</v>
      </c>
      <c r="Y129" s="37" t="e">
        <f t="shared" si="68"/>
        <v>#DIV/0!</v>
      </c>
      <c r="Z129" s="41" t="str">
        <f t="shared" si="69"/>
        <v/>
      </c>
    </row>
    <row r="130" spans="1:26">
      <c r="A130" s="53">
        <v>3.11039E-2</v>
      </c>
      <c r="B130" s="53">
        <v>-2.02084E-4</v>
      </c>
      <c r="C130" s="54">
        <v>3.8417999999999997E-5</v>
      </c>
      <c r="D130" s="58">
        <f>IF(CouplingMode="AC",B130-(A$11-A$10)*SUM(B$9:B130)/0.21,B130)</f>
        <v>-2.02084E-4</v>
      </c>
      <c r="E130" s="55">
        <f t="shared" si="57"/>
        <v>3.530700759253093E-3</v>
      </c>
      <c r="F130" s="55">
        <f t="shared" si="58"/>
        <v>3.530700759253093E-3</v>
      </c>
      <c r="G130" s="56">
        <f t="shared" si="59"/>
        <v>586246193483971.62</v>
      </c>
      <c r="H130" s="77">
        <f t="shared" si="60"/>
        <v>-6.5517024538039315E-6</v>
      </c>
      <c r="I130" s="56">
        <f t="shared" si="61"/>
        <v>100000</v>
      </c>
      <c r="J130" s="56" t="str">
        <f t="shared" si="62"/>
        <v/>
      </c>
      <c r="K130" s="56">
        <f t="shared" si="63"/>
        <v>100000</v>
      </c>
      <c r="L130" s="51">
        <f t="shared" si="70"/>
        <v>-1000000000000</v>
      </c>
      <c r="M130" s="46" t="str">
        <f t="shared" si="64"/>
        <v/>
      </c>
      <c r="N130" s="46" t="str">
        <f t="shared" si="65"/>
        <v/>
      </c>
      <c r="O130" s="51" t="e">
        <f t="shared" si="66"/>
        <v>#DIV/0!</v>
      </c>
      <c r="P130" s="56">
        <f t="shared" si="71"/>
        <v>9.0917434675773741E-12</v>
      </c>
      <c r="Q130" s="51" t="str">
        <f t="shared" si="72"/>
        <v/>
      </c>
      <c r="R130" s="40" t="str">
        <f t="shared" si="74"/>
        <v/>
      </c>
      <c r="S130" s="57">
        <f>IF(AND(E130&gt;0.95*BiasLight,E130&lt;1.05*BiasLight),"",IF(AugerModel="Sinton",calclifetimeauger(Auger_Coefficient,I130,P130),calclifetimerichter(SampleType,I130,SampleDoping,P130)))</f>
        <v>109989904968.8502</v>
      </c>
      <c r="T130" s="295" t="str">
        <f t="shared" si="73"/>
        <v/>
      </c>
      <c r="U130" s="57" t="e">
        <f t="shared" si="67"/>
        <v>#DIV/0!</v>
      </c>
      <c r="V130" s="40">
        <f>IF(AugerModel="Sinton","",IF(SampleType="n-type",n_intr_boltzmann(SampleDoping,0,K130,298.15),n_intr_boltzmann(0,SampleDoping,K130,298.15)))</f>
        <v>8310848067.6308546</v>
      </c>
      <c r="W130" s="40" t="str">
        <f t="shared" si="50"/>
        <v/>
      </c>
      <c r="X130" s="58" t="e">
        <f>IF(AND(A130&gt;TimeofMaxCD,I130&gt;Traps),IF(AugerModel="Sinton",CalcImpliedV(SampleDoping,O130),CalcImpliedVRichter(O130,SampleDoping,V130)),"")</f>
        <v>#DIV/0!</v>
      </c>
      <c r="Y130" s="37" t="e">
        <f t="shared" si="68"/>
        <v>#DIV/0!</v>
      </c>
      <c r="Z130" s="41" t="str">
        <f t="shared" si="69"/>
        <v/>
      </c>
    </row>
    <row r="131" spans="1:26">
      <c r="A131" s="53">
        <v>3.1359900000000003E-2</v>
      </c>
      <c r="B131" s="53">
        <v>-3.42846E-4</v>
      </c>
      <c r="C131" s="54">
        <v>1.5529899999999998E-5</v>
      </c>
      <c r="D131" s="58">
        <f>IF(CouplingMode="AC",B131-(A$11-A$10)*SUM(B$9:B131)/0.21,B131)</f>
        <v>-3.42846E-4</v>
      </c>
      <c r="E131" s="55">
        <f t="shared" si="57"/>
        <v>1.4272328002791559E-3</v>
      </c>
      <c r="F131" s="55">
        <f t="shared" si="58"/>
        <v>1.4272328002791559E-3</v>
      </c>
      <c r="G131" s="56">
        <f t="shared" si="59"/>
        <v>236981226513268.09</v>
      </c>
      <c r="H131" s="77">
        <f t="shared" si="60"/>
        <v>-1.1115290655276666E-5</v>
      </c>
      <c r="I131" s="56">
        <f t="shared" si="61"/>
        <v>100000</v>
      </c>
      <c r="J131" s="56" t="str">
        <f t="shared" si="62"/>
        <v/>
      </c>
      <c r="K131" s="56">
        <f t="shared" si="63"/>
        <v>100000</v>
      </c>
      <c r="L131" s="51">
        <f t="shared" si="70"/>
        <v>-1000000000000</v>
      </c>
      <c r="M131" s="46" t="str">
        <f t="shared" si="64"/>
        <v/>
      </c>
      <c r="N131" s="46" t="str">
        <f t="shared" si="65"/>
        <v/>
      </c>
      <c r="O131" s="51" t="e">
        <f t="shared" si="66"/>
        <v>#DIV/0!</v>
      </c>
      <c r="P131" s="56">
        <f t="shared" si="71"/>
        <v>2.2491233075382807E-11</v>
      </c>
      <c r="Q131" s="51" t="str">
        <f t="shared" si="72"/>
        <v/>
      </c>
      <c r="R131" s="40" t="str">
        <f t="shared" si="74"/>
        <v/>
      </c>
      <c r="S131" s="57">
        <f>IF(AND(E131&gt;0.95*BiasLight,E131&lt;1.05*BiasLight),"",IF(AugerModel="Sinton",calclifetimeauger(Auger_Coefficient,I131,P131),calclifetimerichter(SampleType,I131,SampleDoping,P131)))</f>
        <v>44461768576.598137</v>
      </c>
      <c r="T131" s="295" t="str">
        <f t="shared" si="73"/>
        <v/>
      </c>
      <c r="U131" s="57" t="e">
        <f t="shared" si="67"/>
        <v>#DIV/0!</v>
      </c>
      <c r="V131" s="40">
        <f>IF(AugerModel="Sinton","",IF(SampleType="n-type",n_intr_boltzmann(SampleDoping,0,K131,298.15),n_intr_boltzmann(0,SampleDoping,K131,298.15)))</f>
        <v>8310848067.6308546</v>
      </c>
      <c r="W131" s="40" t="str">
        <f t="shared" si="50"/>
        <v/>
      </c>
      <c r="X131" s="58" t="e">
        <f>IF(AND(A131&gt;TimeofMaxCD,I131&gt;Traps),IF(AugerModel="Sinton",CalcImpliedV(SampleDoping,O131),CalcImpliedVRichter(O131,SampleDoping,V131)),"")</f>
        <v>#DIV/0!</v>
      </c>
      <c r="Y131" s="37" t="e">
        <f t="shared" si="68"/>
        <v>#DIV/0!</v>
      </c>
      <c r="Z131" s="41" t="str">
        <f t="shared" si="69"/>
        <v/>
      </c>
    </row>
    <row r="132" spans="1:26">
      <c r="A132" s="53">
        <v>3.1615900000000002E-2</v>
      </c>
      <c r="B132" s="53">
        <v>-1.04237E-4</v>
      </c>
      <c r="C132" s="54">
        <v>7.9004600000000006E-6</v>
      </c>
      <c r="D132" s="58">
        <f>IF(CouplingMode="AC",B132-(A$11-A$10)*SUM(B$9:B132)/0.21,B132)</f>
        <v>-1.04237E-4</v>
      </c>
      <c r="E132" s="55">
        <f t="shared" si="57"/>
        <v>7.2607007445595019E-4</v>
      </c>
      <c r="F132" s="55">
        <f t="shared" si="58"/>
        <v>7.2607007445595019E-4</v>
      </c>
      <c r="G132" s="56">
        <f t="shared" si="59"/>
        <v>120558451813534.8</v>
      </c>
      <c r="H132" s="77">
        <f t="shared" si="60"/>
        <v>-3.3794380282850534E-6</v>
      </c>
      <c r="I132" s="56">
        <f t="shared" si="61"/>
        <v>100000</v>
      </c>
      <c r="J132" s="56" t="str">
        <f t="shared" si="62"/>
        <v/>
      </c>
      <c r="K132" s="56">
        <f t="shared" si="63"/>
        <v>100000</v>
      </c>
      <c r="L132" s="51"/>
      <c r="M132" s="46" t="str">
        <f t="shared" si="64"/>
        <v/>
      </c>
      <c r="N132" s="46" t="str">
        <f t="shared" si="65"/>
        <v/>
      </c>
      <c r="O132" s="51" t="e">
        <f t="shared" si="66"/>
        <v>#DIV/0!</v>
      </c>
      <c r="P132" s="56"/>
      <c r="Q132" s="51" t="str">
        <f t="shared" si="72"/>
        <v/>
      </c>
      <c r="R132" s="40" t="str">
        <f t="shared" si="74"/>
        <v/>
      </c>
      <c r="S132" s="295"/>
      <c r="T132" s="295" t="str">
        <f t="shared" si="73"/>
        <v/>
      </c>
      <c r="U132" s="57" t="e">
        <f t="shared" si="67"/>
        <v>#DIV/0!</v>
      </c>
      <c r="V132" s="40">
        <f>IF(AugerModel="Sinton","",IF(SampleType="n-type",n_intr_boltzmann(SampleDoping,0,K132,298.15),n_intr_boltzmann(0,SampleDoping,K132,298.15)))</f>
        <v>8310848067.6308546</v>
      </c>
      <c r="W132" s="40" t="str">
        <f t="shared" si="50"/>
        <v/>
      </c>
      <c r="X132" s="58" t="e">
        <f>IF(AND(A132&gt;TimeofMaxCD,I132&gt;Traps),IF(AugerModel="Sinton",CalcImpliedV(SampleDoping,O132),CalcImpliedVRichter(O132,SampleDoping,V132)),"")</f>
        <v>#DIV/0!</v>
      </c>
      <c r="Y132" s="37" t="str">
        <f t="shared" si="68"/>
        <v/>
      </c>
      <c r="Z132" s="41" t="str">
        <f t="shared" si="69"/>
        <v/>
      </c>
    </row>
    <row r="133" spans="1:26">
      <c r="A133" s="53">
        <v>3.1871900000000002E-2</v>
      </c>
      <c r="B133" s="53">
        <v>-3.2320100000000001E-4</v>
      </c>
      <c r="C133" s="54">
        <v>-1.3271100000000001E-5</v>
      </c>
      <c r="D133" s="58">
        <f>IF(CouplingMode="AC",B133-(A$11-A$10)*SUM(B$9:B133)/0.21,B133)</f>
        <v>-3.2320100000000001E-4</v>
      </c>
      <c r="E133" s="55">
        <f t="shared" si="57"/>
        <v>1.0000000000000001E-5</v>
      </c>
      <c r="F133" s="55">
        <f t="shared" si="58"/>
        <v>1.0000000000000001E-5</v>
      </c>
      <c r="G133" s="56">
        <f t="shared" si="59"/>
        <v>1660424469413.2334</v>
      </c>
      <c r="H133" s="77">
        <f t="shared" si="60"/>
        <v>-1.0478388639656444E-5</v>
      </c>
      <c r="I133" s="56">
        <f t="shared" si="61"/>
        <v>100000</v>
      </c>
      <c r="J133" s="56" t="str">
        <f t="shared" si="62"/>
        <v/>
      </c>
      <c r="K133" s="56">
        <f t="shared" si="63"/>
        <v>100000</v>
      </c>
      <c r="L133" s="51"/>
      <c r="M133" s="46" t="str">
        <f t="shared" si="64"/>
        <v/>
      </c>
      <c r="N133" s="46" t="str">
        <f t="shared" si="65"/>
        <v/>
      </c>
      <c r="O133" s="51" t="e">
        <f t="shared" si="66"/>
        <v>#DIV/0!</v>
      </c>
      <c r="P133" s="56"/>
      <c r="Q133" s="51" t="str">
        <f t="shared" si="72"/>
        <v/>
      </c>
      <c r="R133" s="40" t="str">
        <f t="shared" si="74"/>
        <v/>
      </c>
      <c r="S133" s="295"/>
      <c r="T133" s="295" t="str">
        <f t="shared" si="73"/>
        <v/>
      </c>
      <c r="U133" s="57" t="e">
        <f t="shared" si="67"/>
        <v>#DIV/0!</v>
      </c>
      <c r="V133" s="40">
        <f>IF(AugerModel="Sinton","",IF(SampleType="n-type",n_intr_boltzmann(SampleDoping,0,K133,298.15),n_intr_boltzmann(0,SampleDoping,K133,298.15)))</f>
        <v>8310848067.6308546</v>
      </c>
      <c r="W133" s="40" t="str">
        <f t="shared" si="50"/>
        <v/>
      </c>
      <c r="X133" s="58" t="e">
        <f>IF(AND(A133&gt;TimeofMaxCD,I133&gt;Traps),IF(AugerModel="Sinton",CalcImpliedV(SampleDoping,O133),CalcImpliedVRichter(O133,SampleDoping,V133)),"")</f>
        <v>#DIV/0!</v>
      </c>
      <c r="Y133" s="37" t="str">
        <f t="shared" si="68"/>
        <v/>
      </c>
      <c r="Z133" s="41" t="str">
        <f t="shared" si="69"/>
        <v/>
      </c>
    </row>
    <row r="134" spans="1:26">
      <c r="A134" s="146" t="s">
        <v>57</v>
      </c>
      <c r="B134" s="151" t="s">
        <v>132</v>
      </c>
      <c r="C134" s="60"/>
      <c r="D134" s="38"/>
      <c r="E134" s="38"/>
      <c r="F134" s="38"/>
      <c r="G134" s="38"/>
      <c r="H134" s="38"/>
      <c r="I134" s="38"/>
      <c r="J134" s="38"/>
      <c r="K134" s="38"/>
      <c r="L134" s="38"/>
      <c r="M134" s="38"/>
      <c r="N134" s="41" t="str">
        <f t="shared" ref="N134" si="75">IF(M134="","",1/M134)</f>
        <v/>
      </c>
      <c r="O134" s="38"/>
      <c r="R134" s="38"/>
      <c r="S134" s="38"/>
      <c r="T134" s="38"/>
      <c r="U134" s="38"/>
      <c r="V134" s="40">
        <f>IF(AugerModel="Sinton","",IF(SampleType="n-type",n_intr_boltzmann(SampleDoping,0,K134,298.15),n_intr_boltzmann(0,SampleDoping,K134,298.15)))</f>
        <v>8310848067.5947371</v>
      </c>
      <c r="W134" s="40" t="str">
        <f t="shared" si="50"/>
        <v/>
      </c>
      <c r="Z134" s="91"/>
    </row>
    <row r="135" spans="1:26">
      <c r="A135" s="146"/>
      <c r="B135" s="47"/>
      <c r="C135" s="45"/>
      <c r="D135" s="38"/>
      <c r="E135" s="38"/>
      <c r="F135" s="38"/>
      <c r="G135" s="46"/>
      <c r="H135" s="46"/>
      <c r="I135" s="38"/>
      <c r="J135" s="38"/>
      <c r="K135" s="38"/>
      <c r="L135" s="38"/>
      <c r="M135" s="38"/>
      <c r="N135" s="38"/>
      <c r="O135" s="38"/>
      <c r="R135" s="38"/>
      <c r="S135" s="38"/>
      <c r="T135" s="38"/>
      <c r="U135" s="46"/>
      <c r="V135" s="38"/>
      <c r="W135" s="38"/>
      <c r="X135" s="38"/>
      <c r="Y135" s="38"/>
    </row>
    <row r="136" spans="1:26">
      <c r="A136" s="146" t="s">
        <v>80</v>
      </c>
      <c r="B136" s="47" t="s">
        <v>133</v>
      </c>
      <c r="C136" s="59"/>
      <c r="D136" s="38"/>
      <c r="E136" s="38"/>
      <c r="F136" s="38"/>
      <c r="G136" s="38"/>
      <c r="H136" s="38"/>
      <c r="I136" s="38"/>
      <c r="J136" s="38"/>
      <c r="K136" s="38"/>
      <c r="L136" s="38"/>
      <c r="M136" s="38"/>
      <c r="N136" s="38"/>
      <c r="O136" s="38"/>
      <c r="R136" s="38"/>
      <c r="S136" s="38"/>
      <c r="T136" s="38"/>
      <c r="U136" s="46"/>
      <c r="V136" s="38"/>
      <c r="W136" s="38"/>
      <c r="X136" s="38"/>
      <c r="Y136" s="38"/>
    </row>
    <row r="137" spans="1:26">
      <c r="A137" s="146"/>
      <c r="B137" s="47"/>
      <c r="C137" s="59"/>
      <c r="D137" s="38"/>
      <c r="E137" s="38"/>
      <c r="F137" s="38"/>
      <c r="G137" s="38"/>
      <c r="H137" s="38"/>
      <c r="I137" s="38"/>
      <c r="J137" s="38"/>
      <c r="K137" s="38"/>
      <c r="L137" s="38"/>
      <c r="M137" s="38"/>
      <c r="N137" s="38"/>
      <c r="O137" s="38"/>
      <c r="R137" s="38"/>
      <c r="S137" s="38"/>
      <c r="T137" s="38"/>
      <c r="U137" s="46"/>
      <c r="V137" s="38"/>
      <c r="W137" s="38"/>
      <c r="X137" s="38"/>
      <c r="Y137" s="38"/>
    </row>
    <row r="138" spans="1:26">
      <c r="A138" s="146" t="s">
        <v>69</v>
      </c>
      <c r="B138" s="47">
        <v>5</v>
      </c>
      <c r="C138" s="59"/>
      <c r="D138" s="38"/>
      <c r="E138" s="38"/>
      <c r="F138" s="38"/>
      <c r="G138" s="38"/>
      <c r="H138" s="38"/>
      <c r="I138" s="38"/>
      <c r="J138" s="38"/>
      <c r="K138" s="38"/>
      <c r="L138" s="38"/>
      <c r="M138" s="38"/>
      <c r="N138" s="38"/>
      <c r="O138" s="38"/>
      <c r="R138" s="38"/>
      <c r="S138" s="38"/>
      <c r="T138" s="38"/>
      <c r="U138" s="46"/>
      <c r="V138" s="38"/>
      <c r="W138" s="38"/>
      <c r="X138" s="38"/>
      <c r="Y138" s="38"/>
    </row>
    <row r="139" spans="1:26">
      <c r="A139" s="147"/>
      <c r="B139" s="47"/>
      <c r="C139" s="47"/>
      <c r="D139" s="48"/>
      <c r="E139" s="48"/>
      <c r="F139" s="48"/>
      <c r="G139" s="48"/>
      <c r="H139" s="48"/>
      <c r="I139" s="48"/>
      <c r="J139" s="48"/>
      <c r="K139" s="48"/>
      <c r="L139" s="48"/>
      <c r="M139" s="38"/>
      <c r="N139" s="48"/>
      <c r="O139" s="38"/>
      <c r="P139" s="48"/>
      <c r="Q139" s="48"/>
      <c r="R139" s="48"/>
      <c r="S139" s="48"/>
      <c r="T139" s="48"/>
      <c r="U139" s="48"/>
      <c r="V139" s="48" t="str">
        <f>IF(User!S6="","",User!S6)</f>
        <v/>
      </c>
      <c r="W139" s="38"/>
    </row>
    <row r="140" spans="1:26">
      <c r="A140" s="146" t="s">
        <v>68</v>
      </c>
      <c r="B140" s="150">
        <v>5</v>
      </c>
      <c r="C140" s="44"/>
      <c r="D140" s="38"/>
      <c r="E140" s="38"/>
      <c r="F140" s="42"/>
      <c r="G140" s="42"/>
      <c r="H140" s="42"/>
      <c r="I140" s="42"/>
      <c r="J140" s="43"/>
      <c r="K140" s="42"/>
      <c r="L140" s="42"/>
      <c r="M140" s="38"/>
      <c r="N140" s="42"/>
      <c r="O140" s="38"/>
      <c r="P140" s="42"/>
      <c r="Q140" s="42"/>
      <c r="R140" s="42"/>
      <c r="S140" s="42"/>
      <c r="T140" s="38"/>
      <c r="U140" s="38"/>
      <c r="V140" s="38"/>
      <c r="W140" s="38"/>
    </row>
    <row r="141" spans="1:26">
      <c r="A141" s="148"/>
      <c r="B141" s="47"/>
      <c r="C141" s="45"/>
      <c r="D141" s="36"/>
      <c r="E141" s="37"/>
      <c r="F141" s="36"/>
      <c r="G141" s="38"/>
      <c r="H141" s="38"/>
      <c r="I141" s="38"/>
      <c r="J141" s="39"/>
      <c r="K141" s="37"/>
      <c r="L141" s="39"/>
      <c r="N141" s="40"/>
      <c r="P141" s="38"/>
      <c r="Q141" s="37"/>
      <c r="R141" s="40"/>
    </row>
    <row r="142" spans="1:26">
      <c r="A142" s="146" t="s">
        <v>67</v>
      </c>
      <c r="B142" s="47">
        <v>10</v>
      </c>
      <c r="C142" s="45"/>
      <c r="D142" s="38"/>
      <c r="E142" s="38"/>
      <c r="F142" s="38"/>
      <c r="G142" s="38"/>
      <c r="H142" s="38"/>
      <c r="I142" s="38"/>
      <c r="J142" s="38"/>
      <c r="K142" s="38"/>
      <c r="L142" s="38"/>
      <c r="P142" s="38"/>
      <c r="Q142" s="38"/>
    </row>
    <row r="143" spans="1:26">
      <c r="A143" s="149"/>
      <c r="B143" s="79"/>
      <c r="C143" s="78"/>
    </row>
    <row r="144" spans="1:26">
      <c r="A144" s="149" t="s">
        <v>66</v>
      </c>
      <c r="B144" s="79">
        <v>20</v>
      </c>
      <c r="C144" s="78"/>
    </row>
    <row r="145" spans="1:3">
      <c r="A145" s="149"/>
      <c r="B145" s="79"/>
      <c r="C145" s="78"/>
    </row>
    <row r="146" spans="1:3">
      <c r="A146" s="149" t="s">
        <v>73</v>
      </c>
      <c r="B146" s="79">
        <v>1</v>
      </c>
      <c r="C146" s="78"/>
    </row>
    <row r="147" spans="1:3">
      <c r="A147" s="149"/>
      <c r="B147" s="79"/>
      <c r="C147" s="78"/>
    </row>
    <row r="148" spans="1:3">
      <c r="A148" s="149" t="s">
        <v>72</v>
      </c>
      <c r="B148" s="79">
        <v>1</v>
      </c>
      <c r="C148" s="78"/>
    </row>
    <row r="149" spans="1:3">
      <c r="A149" s="149"/>
      <c r="B149" s="79"/>
      <c r="C149" s="78"/>
    </row>
    <row r="150" spans="1:3">
      <c r="A150" s="149" t="s">
        <v>71</v>
      </c>
      <c r="B150" s="176">
        <v>0.30723099999999998</v>
      </c>
      <c r="C150" s="78"/>
    </row>
    <row r="151" spans="1:3">
      <c r="A151" s="149"/>
      <c r="B151" s="79"/>
      <c r="C151" s="78"/>
    </row>
    <row r="152" spans="1:3">
      <c r="A152" s="149" t="s">
        <v>70</v>
      </c>
      <c r="B152" s="79">
        <v>0.49633100000000002</v>
      </c>
      <c r="C152" s="78"/>
    </row>
    <row r="153" spans="1:3">
      <c r="A153" s="149"/>
      <c r="B153" s="79"/>
      <c r="C153" s="78"/>
    </row>
    <row r="154" spans="1:3">
      <c r="A154" s="149" t="s">
        <v>63</v>
      </c>
      <c r="B154" s="79">
        <v>125</v>
      </c>
      <c r="C154" s="78"/>
    </row>
    <row r="155" spans="1:3">
      <c r="A155" s="149"/>
      <c r="B155" s="79"/>
      <c r="C155" s="78"/>
    </row>
    <row r="156" spans="1:3">
      <c r="A156" s="149" t="s">
        <v>61</v>
      </c>
      <c r="B156" s="79">
        <v>32000</v>
      </c>
      <c r="C156" s="78"/>
    </row>
    <row r="157" spans="1:3">
      <c r="A157" s="149"/>
      <c r="B157" s="79"/>
      <c r="C157" s="78"/>
    </row>
    <row r="158" spans="1:3">
      <c r="A158" s="149" t="s">
        <v>58</v>
      </c>
      <c r="B158" s="79">
        <v>0.2</v>
      </c>
      <c r="C158" s="78"/>
    </row>
    <row r="159" spans="1:3">
      <c r="A159" s="149"/>
      <c r="B159" s="79"/>
      <c r="C159" s="78"/>
    </row>
    <row r="160" spans="1:3">
      <c r="A160" s="149" t="s">
        <v>59</v>
      </c>
      <c r="B160" s="79">
        <v>0.02</v>
      </c>
      <c r="C160" s="78"/>
    </row>
    <row r="161" spans="1:3">
      <c r="A161" s="149"/>
      <c r="B161" s="79"/>
      <c r="C161" s="78"/>
    </row>
    <row r="162" spans="1:3">
      <c r="A162" s="149" t="s">
        <v>60</v>
      </c>
      <c r="B162" s="79">
        <v>1000</v>
      </c>
      <c r="C162" s="78"/>
    </row>
    <row r="163" spans="1:3">
      <c r="A163" s="149"/>
      <c r="B163" s="79"/>
      <c r="C163" s="78"/>
    </row>
    <row r="164" spans="1:3">
      <c r="A164" s="149" t="s">
        <v>62</v>
      </c>
      <c r="B164" s="79">
        <v>0.05</v>
      </c>
      <c r="C164" s="78"/>
    </row>
    <row r="165" spans="1:3">
      <c r="A165" s="149"/>
      <c r="B165" s="79"/>
      <c r="C165" s="78"/>
    </row>
    <row r="166" spans="1:3">
      <c r="A166" s="149" t="s">
        <v>64</v>
      </c>
      <c r="B166" s="79">
        <v>0.12689600000000001</v>
      </c>
      <c r="C166" s="78"/>
    </row>
    <row r="167" spans="1:3">
      <c r="A167" s="149"/>
      <c r="B167" s="79"/>
      <c r="C167" s="78"/>
    </row>
    <row r="168" spans="1:3">
      <c r="A168" s="149" t="s">
        <v>76</v>
      </c>
      <c r="B168" s="79" t="s">
        <v>132</v>
      </c>
      <c r="C168" s="78"/>
    </row>
    <row r="169" spans="1:3">
      <c r="A169" s="149"/>
      <c r="B169" s="79"/>
      <c r="C169" s="78"/>
    </row>
    <row r="170" spans="1:3">
      <c r="A170" s="149" t="s">
        <v>74</v>
      </c>
      <c r="B170" s="79" t="s">
        <v>132</v>
      </c>
      <c r="C170" s="78"/>
    </row>
    <row r="171" spans="1:3">
      <c r="A171" s="149"/>
      <c r="B171" s="79"/>
      <c r="C171" s="78"/>
    </row>
    <row r="172" spans="1:3">
      <c r="A172" s="149" t="s">
        <v>75</v>
      </c>
      <c r="B172" s="79" t="s">
        <v>133</v>
      </c>
      <c r="C172" s="78"/>
    </row>
    <row r="173" spans="1:3">
      <c r="A173" s="149"/>
      <c r="B173" s="79"/>
      <c r="C173" s="78"/>
    </row>
    <row r="174" spans="1:3">
      <c r="A174" s="149" t="s">
        <v>79</v>
      </c>
      <c r="B174" s="79">
        <v>20000</v>
      </c>
      <c r="C174" s="78"/>
    </row>
    <row r="175" spans="1:3">
      <c r="A175" s="149"/>
      <c r="B175" s="79"/>
      <c r="C175" s="78"/>
    </row>
    <row r="176" spans="1:3">
      <c r="A176" s="149" t="s">
        <v>77</v>
      </c>
      <c r="B176" s="79">
        <v>6</v>
      </c>
      <c r="C176" s="78"/>
    </row>
    <row r="177" spans="1:3">
      <c r="A177" s="149"/>
      <c r="B177" s="79"/>
      <c r="C177" s="78"/>
    </row>
    <row r="178" spans="1:3">
      <c r="A178" s="149" t="s">
        <v>78</v>
      </c>
      <c r="B178" s="79">
        <v>1</v>
      </c>
      <c r="C178" s="78"/>
    </row>
    <row r="179" spans="1:3">
      <c r="A179" s="149"/>
      <c r="B179" s="79"/>
      <c r="C179" s="78"/>
    </row>
    <row r="180" spans="1:3">
      <c r="A180" s="149" t="s">
        <v>81</v>
      </c>
      <c r="B180" s="79">
        <v>20</v>
      </c>
      <c r="C180" s="78"/>
    </row>
    <row r="181" spans="1:3">
      <c r="A181" s="149"/>
      <c r="B181" s="79"/>
      <c r="C181" s="78"/>
    </row>
    <row r="182" spans="1:3">
      <c r="A182" s="149" t="s">
        <v>83</v>
      </c>
      <c r="B182" s="79">
        <v>64</v>
      </c>
      <c r="C182" s="78"/>
    </row>
    <row r="183" spans="1:3">
      <c r="A183" s="149"/>
      <c r="B183" s="79"/>
      <c r="C183" s="78"/>
    </row>
    <row r="184" spans="1:3">
      <c r="A184" s="149" t="s">
        <v>84</v>
      </c>
      <c r="B184" s="79" t="s">
        <v>133</v>
      </c>
      <c r="C184" s="78"/>
    </row>
    <row r="185" spans="1:3">
      <c r="A185" s="149"/>
      <c r="B185" s="79"/>
      <c r="C185" s="78"/>
    </row>
    <row r="186" spans="1:3">
      <c r="A186" s="149" t="s">
        <v>85</v>
      </c>
      <c r="B186" s="79"/>
      <c r="C186" s="78"/>
    </row>
    <row r="187" spans="1:3">
      <c r="A187" s="149" t="s">
        <v>99</v>
      </c>
      <c r="B187" s="79">
        <v>1</v>
      </c>
      <c r="C187" s="78"/>
    </row>
    <row r="188" spans="1:3">
      <c r="A188" s="149"/>
      <c r="B188" s="79"/>
      <c r="C188" s="78"/>
    </row>
    <row r="189" spans="1:3">
      <c r="A189" s="149" t="s">
        <v>100</v>
      </c>
      <c r="B189" s="79">
        <v>1</v>
      </c>
      <c r="C189" s="78"/>
    </row>
    <row r="190" spans="1:3">
      <c r="A190" s="149"/>
      <c r="B190" s="79"/>
      <c r="C190" s="78"/>
    </row>
    <row r="191" spans="1:3">
      <c r="A191" s="149" t="s">
        <v>101</v>
      </c>
      <c r="B191" s="79">
        <v>1</v>
      </c>
      <c r="C191" s="78"/>
    </row>
    <row r="192" spans="1:3">
      <c r="A192" s="149"/>
      <c r="B192" s="79"/>
      <c r="C192" s="78"/>
    </row>
    <row r="193" spans="1:19">
      <c r="A193" s="149" t="s">
        <v>102</v>
      </c>
      <c r="B193" s="79">
        <v>1</v>
      </c>
      <c r="C193" s="78"/>
    </row>
    <row r="194" spans="1:19">
      <c r="A194" s="149"/>
      <c r="B194" s="79"/>
      <c r="C194" s="78"/>
    </row>
    <row r="195" spans="1:19">
      <c r="A195" s="149" t="s">
        <v>103</v>
      </c>
      <c r="B195" s="79">
        <v>1</v>
      </c>
      <c r="C195" s="78"/>
    </row>
    <row r="196" spans="1:19">
      <c r="A196" s="149"/>
      <c r="B196" s="79"/>
      <c r="C196" s="78"/>
    </row>
    <row r="197" spans="1:19">
      <c r="A197" s="149" t="s">
        <v>104</v>
      </c>
      <c r="B197" s="79">
        <v>1</v>
      </c>
      <c r="C197" s="78"/>
    </row>
    <row r="198" spans="1:19">
      <c r="A198" s="149"/>
      <c r="B198" s="79"/>
      <c r="C198" s="78"/>
    </row>
    <row r="199" spans="1:19">
      <c r="A199" s="149" t="s">
        <v>105</v>
      </c>
      <c r="B199" s="79">
        <v>1</v>
      </c>
      <c r="C199" s="78"/>
    </row>
    <row r="200" spans="1:19">
      <c r="A200" s="149"/>
      <c r="B200" s="79"/>
      <c r="C200" s="79"/>
      <c r="D200" s="91"/>
      <c r="E200" s="91"/>
      <c r="F200" s="91"/>
      <c r="G200" s="91"/>
      <c r="H200" s="91"/>
      <c r="I200" s="91"/>
      <c r="J200" s="91"/>
      <c r="K200" s="91"/>
      <c r="L200" s="91"/>
      <c r="N200" s="91"/>
      <c r="P200" s="91"/>
      <c r="Q200" s="91"/>
      <c r="R200" s="91"/>
      <c r="S200" s="91"/>
    </row>
    <row r="201" spans="1:19">
      <c r="A201" s="149" t="s">
        <v>106</v>
      </c>
      <c r="B201" s="79">
        <v>1</v>
      </c>
      <c r="C201" s="78"/>
    </row>
    <row r="202" spans="1:19">
      <c r="A202" s="149"/>
      <c r="B202" s="79"/>
      <c r="C202" s="78"/>
    </row>
    <row r="203" spans="1:19">
      <c r="A203" s="149" t="s">
        <v>107</v>
      </c>
      <c r="B203" s="79">
        <v>1</v>
      </c>
      <c r="C203" s="78"/>
    </row>
    <row r="204" spans="1:19">
      <c r="A204" s="149"/>
      <c r="B204" s="79"/>
      <c r="C204" s="78"/>
    </row>
    <row r="205" spans="1:19">
      <c r="A205" s="149" t="s">
        <v>108</v>
      </c>
      <c r="B205" s="79" t="s">
        <v>133</v>
      </c>
      <c r="C205" s="78"/>
    </row>
    <row r="206" spans="1:19">
      <c r="A206" s="149"/>
      <c r="B206" s="79"/>
      <c r="C206" s="78"/>
    </row>
    <row r="207" spans="1:19">
      <c r="A207" s="149" t="s">
        <v>109</v>
      </c>
      <c r="B207" s="79">
        <v>1</v>
      </c>
      <c r="C207" s="78"/>
    </row>
    <row r="208" spans="1:19">
      <c r="A208" s="149"/>
      <c r="B208" s="79"/>
      <c r="C208" s="78"/>
    </row>
    <row r="209" spans="1:3">
      <c r="A209" s="149" t="s">
        <v>110</v>
      </c>
      <c r="B209" s="79">
        <v>1</v>
      </c>
      <c r="C209" s="78"/>
    </row>
    <row r="210" spans="1:3">
      <c r="A210" s="149"/>
      <c r="B210" s="79"/>
      <c r="C210" s="78"/>
    </row>
    <row r="211" spans="1:3">
      <c r="A211" s="149" t="s">
        <v>91</v>
      </c>
      <c r="B211" s="79">
        <v>1</v>
      </c>
      <c r="C211" s="78"/>
    </row>
    <row r="212" spans="1:3">
      <c r="A212" s="149"/>
      <c r="B212" s="79"/>
      <c r="C212" s="78"/>
    </row>
    <row r="213" spans="1:3">
      <c r="A213" s="149" t="s">
        <v>92</v>
      </c>
      <c r="B213" s="79">
        <v>1</v>
      </c>
      <c r="C213" s="78"/>
    </row>
    <row r="214" spans="1:3">
      <c r="A214" s="149"/>
      <c r="B214" s="79"/>
      <c r="C214" s="78"/>
    </row>
    <row r="215" spans="1:3">
      <c r="A215" s="149" t="s">
        <v>93</v>
      </c>
      <c r="B215" s="79">
        <v>1</v>
      </c>
      <c r="C215" s="78"/>
    </row>
    <row r="216" spans="1:3">
      <c r="A216" s="149"/>
      <c r="B216" s="79"/>
      <c r="C216" s="78"/>
    </row>
    <row r="217" spans="1:3">
      <c r="A217" s="149" t="s">
        <v>94</v>
      </c>
      <c r="B217" s="79">
        <v>1</v>
      </c>
      <c r="C217" s="78"/>
    </row>
    <row r="218" spans="1:3">
      <c r="A218" s="149"/>
      <c r="B218" s="79"/>
      <c r="C218" s="78"/>
    </row>
    <row r="219" spans="1:3">
      <c r="A219" s="149" t="s">
        <v>95</v>
      </c>
      <c r="B219" s="79">
        <v>1</v>
      </c>
      <c r="C219" s="78"/>
    </row>
    <row r="220" spans="1:3">
      <c r="A220" s="149"/>
      <c r="B220" s="79"/>
      <c r="C220" s="78"/>
    </row>
    <row r="221" spans="1:3">
      <c r="A221" s="149" t="s">
        <v>98</v>
      </c>
      <c r="B221" s="79">
        <v>1</v>
      </c>
      <c r="C221" s="78"/>
    </row>
    <row r="222" spans="1:3">
      <c r="A222" s="149"/>
      <c r="B222" s="79"/>
      <c r="C222" s="78"/>
    </row>
    <row r="223" spans="1:3">
      <c r="A223" s="149" t="s">
        <v>96</v>
      </c>
      <c r="B223" s="79">
        <v>1</v>
      </c>
      <c r="C223" s="78"/>
    </row>
    <row r="224" spans="1:3">
      <c r="A224" s="149"/>
      <c r="B224" s="79"/>
      <c r="C224" s="78"/>
    </row>
    <row r="225" spans="1:3">
      <c r="A225" s="149" t="s">
        <v>97</v>
      </c>
      <c r="B225" s="79">
        <v>1</v>
      </c>
      <c r="C225" s="78"/>
    </row>
    <row r="226" spans="1:3">
      <c r="A226" s="149"/>
      <c r="B226" s="79"/>
      <c r="C226" s="78"/>
    </row>
    <row r="227" spans="1:3">
      <c r="A227" s="149" t="s">
        <v>111</v>
      </c>
      <c r="B227" s="79">
        <v>1</v>
      </c>
      <c r="C227" s="78"/>
    </row>
    <row r="228" spans="1:3">
      <c r="A228" s="149"/>
      <c r="B228" s="79"/>
      <c r="C228" s="78"/>
    </row>
    <row r="229" spans="1:3">
      <c r="A229" s="149" t="s">
        <v>112</v>
      </c>
      <c r="B229" s="79">
        <v>1</v>
      </c>
      <c r="C229" s="78"/>
    </row>
    <row r="230" spans="1:3">
      <c r="A230" s="149"/>
      <c r="B230" s="79"/>
      <c r="C230" s="78"/>
    </row>
    <row r="231" spans="1:3">
      <c r="A231" s="149" t="s">
        <v>150</v>
      </c>
      <c r="B231" s="79">
        <v>1</v>
      </c>
      <c r="C231" s="78"/>
    </row>
    <row r="232" spans="1:3">
      <c r="A232" s="149"/>
      <c r="B232" s="79"/>
      <c r="C232" s="78"/>
    </row>
    <row r="233" spans="1:3">
      <c r="A233" s="149" t="s">
        <v>151</v>
      </c>
      <c r="B233" s="79">
        <v>1</v>
      </c>
      <c r="C233" s="78"/>
    </row>
    <row r="234" spans="1:3">
      <c r="A234" s="149"/>
      <c r="B234" s="79"/>
      <c r="C234" s="78"/>
    </row>
    <row r="235" spans="1:3">
      <c r="A235" s="149" t="s">
        <v>135</v>
      </c>
      <c r="B235" s="79">
        <v>1</v>
      </c>
      <c r="C235" s="78"/>
    </row>
    <row r="236" spans="1:3">
      <c r="A236" s="149"/>
      <c r="B236" s="79"/>
      <c r="C236" s="78"/>
    </row>
    <row r="237" spans="1:3">
      <c r="A237" s="149" t="s">
        <v>134</v>
      </c>
      <c r="B237" s="79">
        <v>1</v>
      </c>
      <c r="C237" s="78"/>
    </row>
    <row r="238" spans="1:3">
      <c r="A238" s="149"/>
      <c r="B238" s="79"/>
      <c r="C238" s="78"/>
    </row>
    <row r="239" spans="1:3">
      <c r="A239" s="149" t="s">
        <v>136</v>
      </c>
      <c r="B239" s="79">
        <v>1</v>
      </c>
      <c r="C239" s="78"/>
    </row>
    <row r="240" spans="1:3">
      <c r="A240" s="149"/>
      <c r="B240" s="79"/>
      <c r="C240" s="78"/>
    </row>
    <row r="241" spans="1:3">
      <c r="A241" s="149" t="s">
        <v>137</v>
      </c>
      <c r="B241" s="79">
        <v>1</v>
      </c>
      <c r="C241" s="78"/>
    </row>
    <row r="242" spans="1:3">
      <c r="A242" s="149"/>
      <c r="B242" s="79"/>
      <c r="C242" s="78"/>
    </row>
    <row r="243" spans="1:3">
      <c r="A243" s="149" t="s">
        <v>138</v>
      </c>
      <c r="B243" s="79">
        <v>1</v>
      </c>
      <c r="C243" s="78"/>
    </row>
    <row r="244" spans="1:3">
      <c r="A244" s="149"/>
      <c r="B244" s="79"/>
      <c r="C244" s="78"/>
    </row>
    <row r="245" spans="1:3">
      <c r="A245" s="149" t="s">
        <v>139</v>
      </c>
      <c r="B245" s="79">
        <v>1</v>
      </c>
      <c r="C245" s="78"/>
    </row>
    <row r="246" spans="1:3">
      <c r="A246" s="149"/>
      <c r="B246" s="79"/>
      <c r="C246" s="78"/>
    </row>
    <row r="247" spans="1:3">
      <c r="A247" s="149" t="s">
        <v>140</v>
      </c>
      <c r="B247" s="79">
        <v>1</v>
      </c>
      <c r="C247" s="78"/>
    </row>
    <row r="248" spans="1:3">
      <c r="A248" s="149"/>
      <c r="B248" s="79"/>
      <c r="C248" s="78"/>
    </row>
    <row r="249" spans="1:3">
      <c r="A249" s="149" t="s">
        <v>141</v>
      </c>
      <c r="B249" s="79">
        <v>1</v>
      </c>
      <c r="C249" s="78"/>
    </row>
    <row r="250" spans="1:3">
      <c r="A250" s="149"/>
      <c r="B250" s="79"/>
      <c r="C250" s="78"/>
    </row>
    <row r="251" spans="1:3">
      <c r="A251" s="149" t="s">
        <v>142</v>
      </c>
      <c r="B251" s="79">
        <v>1</v>
      </c>
      <c r="C251" s="78"/>
    </row>
    <row r="252" spans="1:3">
      <c r="A252" s="149"/>
      <c r="B252" s="79"/>
      <c r="C252" s="78"/>
    </row>
    <row r="253" spans="1:3">
      <c r="A253" s="149" t="s">
        <v>143</v>
      </c>
      <c r="B253" s="79">
        <v>1</v>
      </c>
      <c r="C253" s="78"/>
    </row>
    <row r="254" spans="1:3">
      <c r="A254" s="149"/>
      <c r="B254" s="79"/>
      <c r="C254" s="78"/>
    </row>
    <row r="255" spans="1:3">
      <c r="A255" s="149" t="s">
        <v>144</v>
      </c>
      <c r="B255" s="79">
        <v>1</v>
      </c>
      <c r="C255" s="78"/>
    </row>
    <row r="256" spans="1:3">
      <c r="A256" s="149"/>
      <c r="B256" s="79"/>
      <c r="C256" s="78"/>
    </row>
    <row r="257" spans="1:3">
      <c r="A257" s="149" t="s">
        <v>145</v>
      </c>
      <c r="B257" s="79">
        <v>1</v>
      </c>
      <c r="C257" s="78"/>
    </row>
    <row r="258" spans="1:3">
      <c r="A258" s="149"/>
      <c r="B258" s="79"/>
      <c r="C258" s="78"/>
    </row>
    <row r="259" spans="1:3">
      <c r="A259" s="149" t="s">
        <v>146</v>
      </c>
      <c r="B259" s="79">
        <v>1</v>
      </c>
      <c r="C259" s="78"/>
    </row>
    <row r="260" spans="1:3">
      <c r="A260" s="149"/>
      <c r="B260" s="79"/>
      <c r="C260" s="78"/>
    </row>
    <row r="261" spans="1:3">
      <c r="A261" s="149" t="s">
        <v>147</v>
      </c>
      <c r="B261" s="79">
        <v>1</v>
      </c>
      <c r="C261" s="78"/>
    </row>
    <row r="262" spans="1:3">
      <c r="A262" s="149"/>
      <c r="B262" s="79"/>
      <c r="C262" s="78"/>
    </row>
    <row r="263" spans="1:3">
      <c r="A263" s="149" t="s">
        <v>148</v>
      </c>
      <c r="B263" s="79">
        <v>1</v>
      </c>
      <c r="C263" s="78"/>
    </row>
    <row r="264" spans="1:3">
      <c r="A264" s="149"/>
      <c r="B264" s="79"/>
      <c r="C264" s="78"/>
    </row>
    <row r="265" spans="1:3">
      <c r="A265" s="149" t="s">
        <v>149</v>
      </c>
      <c r="B265" s="79">
        <v>1</v>
      </c>
      <c r="C265" s="78"/>
    </row>
    <row r="266" spans="1:3">
      <c r="A266" s="149"/>
      <c r="B266" s="79"/>
      <c r="C266" s="78"/>
    </row>
    <row r="267" spans="1:3">
      <c r="A267" s="149" t="s">
        <v>113</v>
      </c>
      <c r="B267" s="79"/>
      <c r="C267" s="78"/>
    </row>
    <row r="268" spans="1:3">
      <c r="A268" s="149" t="s">
        <v>114</v>
      </c>
      <c r="B268" s="79" t="s">
        <v>133</v>
      </c>
      <c r="C268" s="78"/>
    </row>
    <row r="269" spans="1:3">
      <c r="A269" s="149"/>
      <c r="B269" s="79"/>
      <c r="C269" s="78"/>
    </row>
    <row r="270" spans="1:3">
      <c r="A270" s="149" t="s">
        <v>115</v>
      </c>
      <c r="B270" s="79" t="s">
        <v>152</v>
      </c>
      <c r="C270" s="78"/>
    </row>
    <row r="271" spans="1:3">
      <c r="A271" s="149"/>
      <c r="B271" s="79"/>
      <c r="C271" s="78"/>
    </row>
    <row r="272" spans="1:3">
      <c r="A272" s="149" t="s">
        <v>116</v>
      </c>
      <c r="B272" s="79" t="s">
        <v>152</v>
      </c>
      <c r="C272" s="78"/>
    </row>
    <row r="273" spans="1:3">
      <c r="A273" s="149"/>
      <c r="B273" s="79"/>
      <c r="C273" s="78"/>
    </row>
    <row r="274" spans="1:3">
      <c r="A274" s="149" t="s">
        <v>117</v>
      </c>
      <c r="B274" s="79" t="s">
        <v>133</v>
      </c>
      <c r="C274" s="78"/>
    </row>
    <row r="275" spans="1:3">
      <c r="A275" s="149"/>
      <c r="B275" s="79"/>
      <c r="C275" s="78"/>
    </row>
    <row r="276" spans="1:3">
      <c r="A276" s="149" t="s">
        <v>118</v>
      </c>
      <c r="B276" s="79" t="s">
        <v>152</v>
      </c>
      <c r="C276" s="78"/>
    </row>
    <row r="277" spans="1:3">
      <c r="A277" s="149"/>
      <c r="B277" s="79"/>
      <c r="C277" s="78"/>
    </row>
    <row r="278" spans="1:3">
      <c r="A278" s="149" t="s">
        <v>119</v>
      </c>
      <c r="B278" s="79" t="s">
        <v>133</v>
      </c>
      <c r="C278" s="78"/>
    </row>
    <row r="279" spans="1:3">
      <c r="A279" s="149"/>
      <c r="B279" s="79"/>
      <c r="C279" s="78"/>
    </row>
    <row r="280" spans="1:3">
      <c r="A280" s="149" t="s">
        <v>120</v>
      </c>
      <c r="B280" s="79" t="s">
        <v>152</v>
      </c>
      <c r="C280" s="78"/>
    </row>
    <row r="281" spans="1:3">
      <c r="A281" s="149"/>
      <c r="B281" s="79"/>
      <c r="C281" s="78"/>
    </row>
    <row r="282" spans="1:3">
      <c r="A282" s="149" t="s">
        <v>121</v>
      </c>
      <c r="B282" s="79">
        <v>1</v>
      </c>
      <c r="C282" s="78"/>
    </row>
    <row r="283" spans="1:3">
      <c r="A283" s="149"/>
      <c r="B283" s="79"/>
      <c r="C283" s="78"/>
    </row>
    <row r="284" spans="1:3">
      <c r="A284" s="149" t="s">
        <v>122</v>
      </c>
      <c r="B284" s="79">
        <v>1</v>
      </c>
      <c r="C284" s="78"/>
    </row>
    <row r="285" spans="1:3">
      <c r="A285" s="149"/>
      <c r="B285" s="79"/>
      <c r="C285" s="78"/>
    </row>
    <row r="286" spans="1:3">
      <c r="A286" s="149" t="s">
        <v>123</v>
      </c>
      <c r="B286" s="79">
        <v>1</v>
      </c>
      <c r="C286" s="78"/>
    </row>
    <row r="287" spans="1:3">
      <c r="A287" s="149"/>
      <c r="B287" s="79"/>
      <c r="C287" s="78"/>
    </row>
    <row r="288" spans="1:3">
      <c r="A288" s="149" t="s">
        <v>124</v>
      </c>
      <c r="B288" s="79" t="s">
        <v>152</v>
      </c>
      <c r="C288" s="78"/>
    </row>
    <row r="289" spans="1:3">
      <c r="A289" s="149"/>
      <c r="B289" s="79"/>
      <c r="C289" s="78"/>
    </row>
    <row r="290" spans="1:3">
      <c r="A290" s="149" t="s">
        <v>125</v>
      </c>
      <c r="B290" s="79" t="s">
        <v>152</v>
      </c>
      <c r="C290" s="78"/>
    </row>
    <row r="291" spans="1:3">
      <c r="A291" s="149"/>
      <c r="B291" s="79"/>
      <c r="C291" s="78"/>
    </row>
    <row r="292" spans="1:3">
      <c r="A292" s="149" t="s">
        <v>126</v>
      </c>
      <c r="B292" s="79">
        <v>1</v>
      </c>
      <c r="C292" s="78"/>
    </row>
    <row r="293" spans="1:3">
      <c r="A293" s="149"/>
      <c r="B293" s="79"/>
      <c r="C293" s="78"/>
    </row>
    <row r="294" spans="1:3">
      <c r="A294" s="149" t="s">
        <v>127</v>
      </c>
      <c r="B294" s="79">
        <v>1</v>
      </c>
      <c r="C294" s="78"/>
    </row>
    <row r="295" spans="1:3">
      <c r="A295" s="149"/>
      <c r="B295" s="79"/>
      <c r="C295" s="78"/>
    </row>
    <row r="296" spans="1:3">
      <c r="A296" s="149" t="s">
        <v>128</v>
      </c>
      <c r="B296" s="79" t="s">
        <v>152</v>
      </c>
      <c r="C296" s="78"/>
    </row>
    <row r="297" spans="1:3">
      <c r="A297" s="149"/>
      <c r="B297" s="79"/>
      <c r="C297" s="78"/>
    </row>
    <row r="298" spans="1:3">
      <c r="A298" s="149" t="s">
        <v>153</v>
      </c>
      <c r="B298" s="79" t="s">
        <v>152</v>
      </c>
      <c r="C298" s="78"/>
    </row>
    <row r="299" spans="1:3">
      <c r="A299" s="149"/>
      <c r="B299" s="79"/>
      <c r="C299" s="78"/>
    </row>
    <row r="300" spans="1:3">
      <c r="A300" s="149" t="s">
        <v>129</v>
      </c>
      <c r="B300" s="79"/>
      <c r="C300" s="78"/>
    </row>
    <row r="301" spans="1:3">
      <c r="A301" s="149" t="s">
        <v>86</v>
      </c>
      <c r="B301" s="79">
        <v>1</v>
      </c>
      <c r="C301" s="78"/>
    </row>
    <row r="302" spans="1:3">
      <c r="A302" s="149"/>
      <c r="B302" s="79"/>
      <c r="C302" s="78"/>
    </row>
    <row r="303" spans="1:3">
      <c r="A303" s="149" t="s">
        <v>87</v>
      </c>
      <c r="B303" s="79">
        <v>1</v>
      </c>
      <c r="C303" s="78"/>
    </row>
    <row r="304" spans="1:3">
      <c r="A304" s="149"/>
      <c r="B304" s="79"/>
      <c r="C304" s="78"/>
    </row>
    <row r="305" spans="1:3">
      <c r="A305" s="149" t="s">
        <v>88</v>
      </c>
      <c r="B305" s="79">
        <v>1</v>
      </c>
      <c r="C305" s="78"/>
    </row>
    <row r="306" spans="1:3">
      <c r="A306" s="149"/>
      <c r="B306" s="79"/>
      <c r="C306" s="78"/>
    </row>
    <row r="307" spans="1:3">
      <c r="A307" s="149" t="s">
        <v>89</v>
      </c>
      <c r="B307" s="79">
        <v>1</v>
      </c>
      <c r="C307" s="78"/>
    </row>
    <row r="308" spans="1:3">
      <c r="A308" s="149"/>
      <c r="B308" s="79"/>
      <c r="C308" s="78"/>
    </row>
    <row r="309" spans="1:3">
      <c r="A309" s="149" t="s">
        <v>90</v>
      </c>
      <c r="B309" s="79">
        <v>1</v>
      </c>
      <c r="C309" s="78"/>
    </row>
    <row r="310" spans="1:3">
      <c r="A310" s="149"/>
      <c r="B310" s="79"/>
      <c r="C310" s="78"/>
    </row>
    <row r="311" spans="1:3">
      <c r="A311" s="149" t="s">
        <v>154</v>
      </c>
      <c r="B311" s="79">
        <v>1</v>
      </c>
      <c r="C311" s="78"/>
    </row>
    <row r="312" spans="1:3">
      <c r="A312" s="149"/>
      <c r="B312" s="79"/>
      <c r="C312" s="78"/>
    </row>
    <row r="313" spans="1:3">
      <c r="A313" s="149" t="s">
        <v>155</v>
      </c>
      <c r="B313" s="79">
        <v>1</v>
      </c>
      <c r="C313" s="78"/>
    </row>
    <row r="314" spans="1:3">
      <c r="A314" s="149"/>
      <c r="B314" s="79"/>
      <c r="C314" s="78"/>
    </row>
    <row r="315" spans="1:3">
      <c r="A315" s="149" t="s">
        <v>254</v>
      </c>
      <c r="B315" s="79">
        <v>1</v>
      </c>
      <c r="C315" s="78"/>
    </row>
    <row r="316" spans="1:3">
      <c r="A316" s="149"/>
      <c r="B316" s="79"/>
      <c r="C316" s="78"/>
    </row>
    <row r="317" spans="1:3">
      <c r="A317" s="149"/>
      <c r="B317" s="79"/>
      <c r="C317" s="78"/>
    </row>
    <row r="318" spans="1:3">
      <c r="A318" s="149"/>
      <c r="B318" s="79"/>
      <c r="C318" s="78"/>
    </row>
    <row r="319" spans="1:3">
      <c r="A319" s="149" t="s">
        <v>88</v>
      </c>
      <c r="B319" s="79">
        <v>1</v>
      </c>
      <c r="C319" s="78"/>
    </row>
    <row r="320" spans="1:3">
      <c r="A320" s="149"/>
      <c r="B320" s="79"/>
      <c r="C320" s="78"/>
    </row>
    <row r="321" spans="1:3">
      <c r="A321" s="149" t="s">
        <v>89</v>
      </c>
      <c r="B321" s="79">
        <v>1</v>
      </c>
      <c r="C321" s="78"/>
    </row>
    <row r="322" spans="1:3">
      <c r="A322" s="149"/>
      <c r="B322" s="79"/>
      <c r="C322" s="78"/>
    </row>
    <row r="323" spans="1:3">
      <c r="A323" s="149" t="s">
        <v>90</v>
      </c>
      <c r="B323" s="79">
        <v>1</v>
      </c>
      <c r="C323" s="78"/>
    </row>
    <row r="324" spans="1:3">
      <c r="A324" s="149"/>
      <c r="B324" s="79"/>
      <c r="C324" s="78"/>
    </row>
    <row r="325" spans="1:3">
      <c r="A325" s="149" t="s">
        <v>154</v>
      </c>
      <c r="B325" s="79">
        <v>1</v>
      </c>
      <c r="C325" s="78"/>
    </row>
    <row r="326" spans="1:3">
      <c r="A326" s="149"/>
      <c r="B326" s="79"/>
      <c r="C326" s="78"/>
    </row>
    <row r="327" spans="1:3">
      <c r="A327" s="149" t="s">
        <v>155</v>
      </c>
      <c r="B327" s="79">
        <v>1</v>
      </c>
      <c r="C327" s="78"/>
    </row>
    <row r="508" spans="19:19">
      <c r="S508" s="40"/>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workbookViewId="0">
      <selection activeCell="C8" sqref="C8"/>
    </sheetView>
  </sheetViews>
  <sheetFormatPr defaultRowHeight="15" customHeight="1"/>
  <cols>
    <col min="1" max="1" width="9.140625" style="34"/>
    <col min="2" max="2" width="27.140625" style="34" customWidth="1"/>
    <col min="3" max="3" width="13.5703125" style="34" customWidth="1"/>
    <col min="4" max="6" width="9.140625" style="34"/>
    <col min="7" max="7" width="11.7109375" style="34" customWidth="1"/>
    <col min="8" max="8" width="9.85546875" style="34" customWidth="1"/>
    <col min="9" max="14" width="9.140625" style="34"/>
    <col min="15" max="15" width="20" style="34" customWidth="1"/>
    <col min="16" max="16" width="9.140625" style="34"/>
    <col min="17" max="17" width="17.28515625" style="34" bestFit="1" customWidth="1"/>
    <col min="18" max="16384" width="9.140625" style="34"/>
  </cols>
  <sheetData>
    <row r="2" spans="2:16" ht="15" customHeight="1">
      <c r="B2" s="102" t="s">
        <v>164</v>
      </c>
      <c r="E2" s="63" t="s">
        <v>163</v>
      </c>
    </row>
    <row r="3" spans="2:16" ht="15" customHeight="1">
      <c r="B3" s="64" t="s">
        <v>289</v>
      </c>
      <c r="C3" s="207" t="s">
        <v>290</v>
      </c>
      <c r="E3" s="34" t="s">
        <v>172</v>
      </c>
      <c r="O3" s="34" t="s">
        <v>203</v>
      </c>
    </row>
    <row r="4" spans="2:16" ht="15" customHeight="1">
      <c r="B4" s="64" t="s">
        <v>165</v>
      </c>
      <c r="C4" s="207" t="s">
        <v>419</v>
      </c>
      <c r="E4" s="209" t="b">
        <v>1</v>
      </c>
      <c r="F4" s="324" t="s">
        <v>358</v>
      </c>
      <c r="G4" s="324"/>
      <c r="H4" s="324"/>
      <c r="I4" s="324"/>
      <c r="J4" s="324"/>
      <c r="K4" s="324"/>
      <c r="L4" s="324"/>
      <c r="M4" s="324"/>
      <c r="O4" s="213">
        <v>-0.85091899999999998</v>
      </c>
      <c r="P4" s="212"/>
    </row>
    <row r="5" spans="2:16" ht="15" customHeight="1">
      <c r="B5" s="65" t="s">
        <v>24</v>
      </c>
      <c r="C5" s="205">
        <v>1.0881126048225958E-2</v>
      </c>
      <c r="E5" s="209" t="b">
        <v>0</v>
      </c>
      <c r="F5" s="324" t="s">
        <v>359</v>
      </c>
      <c r="G5" s="324"/>
      <c r="H5" s="324"/>
      <c r="I5" s="324"/>
      <c r="J5" s="324"/>
      <c r="K5" s="324"/>
      <c r="L5" s="324"/>
      <c r="M5" s="324"/>
      <c r="O5" s="213">
        <v>-0.850966</v>
      </c>
      <c r="P5" s="212"/>
    </row>
    <row r="6" spans="2:16" ht="15" customHeight="1">
      <c r="B6" s="65" t="s">
        <v>166</v>
      </c>
      <c r="C6" s="206">
        <v>2.6482364860442155E-4</v>
      </c>
      <c r="E6" s="209" t="b">
        <v>0</v>
      </c>
      <c r="F6" s="324" t="s">
        <v>360</v>
      </c>
      <c r="G6" s="324"/>
      <c r="H6" s="324"/>
      <c r="I6" s="324"/>
      <c r="J6" s="324"/>
      <c r="K6" s="324"/>
      <c r="L6" s="324"/>
      <c r="M6" s="324"/>
      <c r="O6" s="213">
        <v>-0.85091600000000001</v>
      </c>
      <c r="P6" s="212"/>
    </row>
    <row r="7" spans="2:16" ht="15" customHeight="1">
      <c r="B7" s="66" t="s">
        <v>167</v>
      </c>
      <c r="C7" s="206">
        <v>3.190288229684074E-2</v>
      </c>
      <c r="E7" s="210" t="b">
        <v>1</v>
      </c>
      <c r="F7" s="325" t="s">
        <v>247</v>
      </c>
      <c r="G7" s="325"/>
      <c r="H7" s="325"/>
      <c r="I7" s="325"/>
      <c r="J7" s="325"/>
      <c r="K7" s="325"/>
      <c r="L7" s="325"/>
      <c r="M7" s="325"/>
      <c r="O7" s="213">
        <v>-0.85082599999999997</v>
      </c>
      <c r="P7" s="212"/>
    </row>
    <row r="8" spans="2:16" ht="15" customHeight="1">
      <c r="B8" s="64" t="s">
        <v>288</v>
      </c>
      <c r="C8" s="206">
        <v>-5.7158601858176006E-5</v>
      </c>
      <c r="E8" s="201"/>
      <c r="F8" s="326"/>
      <c r="G8" s="326"/>
      <c r="H8" s="326"/>
      <c r="I8" s="326"/>
      <c r="J8" s="326"/>
      <c r="K8" s="326"/>
      <c r="L8" s="326"/>
      <c r="M8" s="326"/>
      <c r="O8" s="213">
        <v>-0.85093799999999997</v>
      </c>
      <c r="P8" s="212"/>
    </row>
    <row r="9" spans="2:16" ht="15" customHeight="1">
      <c r="B9" s="64" t="s">
        <v>168</v>
      </c>
      <c r="C9" s="214">
        <f>Air_Voltage-C8</f>
        <v>-0.85084884139814176</v>
      </c>
      <c r="D9" s="33"/>
      <c r="E9" s="35"/>
      <c r="O9" s="213">
        <v>-0.850684</v>
      </c>
      <c r="P9" s="212"/>
    </row>
    <row r="10" spans="2:16" ht="15" customHeight="1">
      <c r="B10" s="64" t="s">
        <v>202</v>
      </c>
      <c r="C10" s="214">
        <f>AVERAGE(O4:O13)</f>
        <v>-0.85090599999999994</v>
      </c>
      <c r="E10" s="102" t="s">
        <v>201</v>
      </c>
      <c r="O10" s="213">
        <v>-0.85099800000000003</v>
      </c>
      <c r="P10" s="212"/>
    </row>
    <row r="11" spans="2:16" ht="15" customHeight="1">
      <c r="E11" s="209" t="b">
        <v>1</v>
      </c>
      <c r="F11" s="323" t="s">
        <v>275</v>
      </c>
      <c r="G11" s="323"/>
      <c r="H11" s="323"/>
      <c r="I11" s="323"/>
      <c r="J11" s="323"/>
      <c r="K11" s="323"/>
      <c r="L11" s="323"/>
      <c r="M11" s="323"/>
      <c r="O11" s="213">
        <v>-0.850943</v>
      </c>
      <c r="P11" s="212"/>
    </row>
    <row r="12" spans="2:16" ht="15" customHeight="1">
      <c r="B12" s="102" t="s">
        <v>374</v>
      </c>
      <c r="E12" s="35" t="str">
        <f>IF(OR(E7,E11),"","Warning no data will be saved after a measurement!!! Neither to summary or as a full sheet")</f>
        <v/>
      </c>
      <c r="O12" s="213">
        <v>-0.85094899999999996</v>
      </c>
      <c r="P12" s="212"/>
    </row>
    <row r="13" spans="2:16" ht="15" customHeight="1">
      <c r="B13" s="65" t="s">
        <v>170</v>
      </c>
      <c r="C13" s="205">
        <v>1.6600000000000001E-30</v>
      </c>
      <c r="E13" s="172" t="s">
        <v>250</v>
      </c>
      <c r="F13" s="173"/>
      <c r="G13" s="173"/>
      <c r="H13" s="173"/>
      <c r="I13" s="173"/>
      <c r="J13" s="173"/>
      <c r="K13" s="173"/>
      <c r="L13" s="173"/>
      <c r="M13" s="173"/>
      <c r="O13" s="213">
        <v>-0.85092100000000004</v>
      </c>
      <c r="P13" s="212"/>
    </row>
    <row r="14" spans="2:16" ht="15" customHeight="1">
      <c r="B14" s="67" t="s">
        <v>173</v>
      </c>
      <c r="C14" s="207" t="s">
        <v>49</v>
      </c>
      <c r="E14" s="211" t="b">
        <v>1</v>
      </c>
      <c r="F14" s="327" t="s">
        <v>249</v>
      </c>
      <c r="G14" s="327"/>
      <c r="H14" s="327"/>
      <c r="I14" s="327"/>
      <c r="J14" s="327"/>
      <c r="K14" s="327"/>
      <c r="L14" s="327"/>
      <c r="M14" s="327"/>
      <c r="O14" s="34" t="s">
        <v>285</v>
      </c>
    </row>
    <row r="15" spans="2:16" ht="15" customHeight="1">
      <c r="B15" s="65" t="s">
        <v>169</v>
      </c>
      <c r="C15" s="207">
        <v>1</v>
      </c>
      <c r="E15" s="171"/>
      <c r="F15" s="195"/>
      <c r="G15" s="195"/>
      <c r="H15" s="195"/>
      <c r="I15" s="195"/>
      <c r="J15" s="195"/>
      <c r="K15" s="195"/>
      <c r="L15" s="195"/>
      <c r="M15" s="195"/>
      <c r="O15" s="224">
        <f>STDEV(O4:O13)</f>
        <v>8.9742842487736403E-5</v>
      </c>
    </row>
    <row r="16" spans="2:16" ht="15" customHeight="1">
      <c r="B16" s="65" t="s">
        <v>2</v>
      </c>
      <c r="C16" s="208">
        <v>0.3</v>
      </c>
      <c r="E16" s="172" t="s">
        <v>251</v>
      </c>
      <c r="F16" s="174"/>
      <c r="G16" s="174"/>
      <c r="H16" s="174"/>
      <c r="I16" s="174"/>
      <c r="J16" s="174"/>
      <c r="K16" s="174"/>
      <c r="L16" s="174"/>
      <c r="M16" s="174"/>
      <c r="O16" s="34" t="s">
        <v>280</v>
      </c>
    </row>
    <row r="17" spans="2:15" ht="15" customHeight="1">
      <c r="B17" s="65" t="s">
        <v>368</v>
      </c>
      <c r="C17" s="256" t="s">
        <v>371</v>
      </c>
      <c r="E17" s="209" t="b">
        <v>1</v>
      </c>
      <c r="F17" s="323" t="s">
        <v>252</v>
      </c>
      <c r="G17" s="323"/>
      <c r="H17" s="323"/>
      <c r="I17" s="323"/>
      <c r="J17" s="323"/>
      <c r="K17" s="323"/>
      <c r="L17" s="323"/>
      <c r="M17" s="323"/>
      <c r="O17" s="225">
        <v>42216.532824074071</v>
      </c>
    </row>
    <row r="18" spans="2:15" ht="15" customHeight="1">
      <c r="B18" s="65" t="s">
        <v>369</v>
      </c>
      <c r="C18" s="65" t="str">
        <f>IF(AugerModel="Richter", "ON", "OFF")</f>
        <v>ON</v>
      </c>
      <c r="O18" s="217"/>
    </row>
    <row r="19" spans="2:15" ht="15" customHeight="1">
      <c r="B19" s="291" t="s">
        <v>410</v>
      </c>
      <c r="E19" s="102" t="s">
        <v>245</v>
      </c>
    </row>
    <row r="20" spans="2:15" ht="15" customHeight="1">
      <c r="E20" s="207">
        <v>3</v>
      </c>
      <c r="F20" s="321" t="s">
        <v>244</v>
      </c>
      <c r="G20" s="321"/>
      <c r="H20" s="321"/>
      <c r="I20" s="321"/>
      <c r="J20" s="321"/>
      <c r="K20" s="321"/>
      <c r="L20" s="321"/>
      <c r="M20" s="322"/>
    </row>
    <row r="21" spans="2:15" ht="15" customHeight="1">
      <c r="B21" s="102" t="s">
        <v>195</v>
      </c>
      <c r="E21" s="207">
        <f>6</f>
        <v>6</v>
      </c>
      <c r="F21" s="323" t="s">
        <v>379</v>
      </c>
      <c r="G21" s="323"/>
      <c r="H21" s="323"/>
      <c r="I21" s="323"/>
      <c r="J21" s="323"/>
      <c r="K21" s="323"/>
      <c r="L21" s="323"/>
      <c r="M21" s="323"/>
    </row>
    <row r="22" spans="2:15" ht="15" customHeight="1">
      <c r="B22" s="194" t="s">
        <v>196</v>
      </c>
      <c r="C22" s="64" t="b">
        <v>0</v>
      </c>
      <c r="E22" s="297">
        <v>0.3</v>
      </c>
      <c r="F22" s="325" t="s">
        <v>378</v>
      </c>
      <c r="G22" s="325"/>
      <c r="H22" s="325"/>
      <c r="I22" s="325"/>
      <c r="J22" s="325"/>
      <c r="K22" s="325"/>
      <c r="L22" s="325"/>
      <c r="M22" s="325"/>
    </row>
    <row r="23" spans="2:15" ht="15" customHeight="1">
      <c r="B23" s="194" t="s">
        <v>197</v>
      </c>
      <c r="C23" s="64">
        <v>1</v>
      </c>
      <c r="E23" s="170"/>
      <c r="F23" s="326"/>
      <c r="G23" s="326"/>
      <c r="H23" s="326"/>
      <c r="I23" s="326"/>
      <c r="J23" s="326"/>
      <c r="K23" s="326"/>
      <c r="L23" s="326"/>
      <c r="M23" s="326"/>
    </row>
    <row r="24" spans="2:15" ht="15" customHeight="1">
      <c r="B24" s="194" t="s">
        <v>198</v>
      </c>
      <c r="C24" s="64">
        <v>20</v>
      </c>
      <c r="E24" s="102" t="s">
        <v>246</v>
      </c>
      <c r="K24" s="35"/>
    </row>
    <row r="25" spans="2:15" ht="15" customHeight="1">
      <c r="B25" s="194" t="s">
        <v>199</v>
      </c>
      <c r="C25" s="64" t="str">
        <f>PassFail(MeasuredLifetimeAuger,MinTauLimit,MaxTauLimit,TF_PassFail)</f>
        <v/>
      </c>
      <c r="E25" s="64">
        <v>1</v>
      </c>
      <c r="F25" s="320" t="s">
        <v>232</v>
      </c>
      <c r="G25" s="321"/>
      <c r="H25" s="321"/>
      <c r="I25" s="321"/>
      <c r="J25" s="321"/>
      <c r="K25" s="321"/>
      <c r="L25" s="321"/>
      <c r="M25" s="322"/>
    </row>
    <row r="27" spans="2:15" ht="15" customHeight="1">
      <c r="E27" s="102" t="s">
        <v>279</v>
      </c>
      <c r="K27" s="35"/>
    </row>
    <row r="28" spans="2:15" ht="15" customHeight="1">
      <c r="E28" s="207">
        <v>32000</v>
      </c>
      <c r="F28" s="319" t="s">
        <v>276</v>
      </c>
      <c r="G28" s="319"/>
      <c r="H28" s="319"/>
      <c r="I28" s="319"/>
      <c r="J28" s="319"/>
      <c r="K28" s="319"/>
      <c r="L28" s="319"/>
      <c r="M28" s="319"/>
    </row>
    <row r="29" spans="2:15" ht="15" customHeight="1">
      <c r="C29" s="62"/>
      <c r="E29" s="207">
        <v>100000</v>
      </c>
      <c r="F29" s="319" t="s">
        <v>277</v>
      </c>
      <c r="G29" s="319"/>
      <c r="H29" s="319"/>
      <c r="I29" s="319"/>
      <c r="J29" s="319"/>
      <c r="K29" s="319"/>
      <c r="L29" s="319"/>
      <c r="M29" s="319"/>
    </row>
    <row r="30" spans="2:15" ht="15" customHeight="1">
      <c r="C30" s="62"/>
      <c r="E30" s="207">
        <v>3</v>
      </c>
      <c r="F30" s="319" t="s">
        <v>278</v>
      </c>
      <c r="G30" s="319"/>
      <c r="H30" s="319"/>
      <c r="I30" s="319"/>
      <c r="J30" s="319"/>
      <c r="K30" s="319"/>
      <c r="L30" s="319"/>
      <c r="M30" s="319"/>
    </row>
    <row r="31" spans="2:15" ht="15" customHeight="1">
      <c r="C31" s="62"/>
      <c r="K31" s="35"/>
    </row>
    <row r="32" spans="2:15" ht="15" customHeight="1">
      <c r="C32" s="62"/>
      <c r="K32" s="35"/>
    </row>
    <row r="33" spans="3:11" ht="15" customHeight="1">
      <c r="C33" s="35"/>
      <c r="K33" s="35"/>
    </row>
    <row r="34" spans="3:11" ht="15" customHeight="1">
      <c r="K34" s="35"/>
    </row>
    <row r="35" spans="3:11" ht="15" customHeight="1">
      <c r="K35" s="35"/>
    </row>
    <row r="37" spans="3:11" ht="15" customHeight="1">
      <c r="F37" s="49"/>
    </row>
  </sheetData>
  <sheetProtection sheet="1" objects="1" scenarios="1" selectLockedCells="1"/>
  <mergeCells count="16">
    <mergeCell ref="F14:M14"/>
    <mergeCell ref="F20:M20"/>
    <mergeCell ref="F21:M21"/>
    <mergeCell ref="F22:M22"/>
    <mergeCell ref="F23:M23"/>
    <mergeCell ref="F11:M11"/>
    <mergeCell ref="F4:M4"/>
    <mergeCell ref="F5:M5"/>
    <mergeCell ref="F6:M6"/>
    <mergeCell ref="F7:M7"/>
    <mergeCell ref="F8:M8"/>
    <mergeCell ref="F28:M28"/>
    <mergeCell ref="F29:M29"/>
    <mergeCell ref="F30:M30"/>
    <mergeCell ref="F25:M25"/>
    <mergeCell ref="F17:M17"/>
  </mergeCells>
  <dataValidations count="3">
    <dataValidation type="list" allowBlank="1" showInputMessage="1" showErrorMessage="1" sqref="C22 E17 E11 E4:E7 E14">
      <formula1>TF_List</formula1>
    </dataValidation>
    <dataValidation type="list" allowBlank="1" showInputMessage="1" showErrorMessage="1" sqref="E25">
      <formula1>VRangeList</formula1>
    </dataValidation>
    <dataValidation type="list" allowBlank="1" showInputMessage="1" showErrorMessage="1" sqref="C17">
      <formula1>AugerModelList</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4"/>
  <sheetViews>
    <sheetView workbookViewId="0">
      <selection activeCell="J1" sqref="J1"/>
    </sheetView>
  </sheetViews>
  <sheetFormatPr defaultRowHeight="12.75"/>
  <cols>
    <col min="1" max="1" width="9.28515625" style="113" bestFit="1" customWidth="1"/>
    <col min="2" max="2" width="12.140625" style="113" customWidth="1"/>
    <col min="3" max="3" width="12" style="113" customWidth="1"/>
    <col min="4" max="4" width="9.28515625" style="113" bestFit="1" customWidth="1"/>
    <col min="5" max="5" width="11.42578125" style="113" bestFit="1" customWidth="1"/>
    <col min="6" max="6" width="9.28515625" style="113" bestFit="1" customWidth="1"/>
    <col min="7" max="7" width="13.42578125" style="113" customWidth="1"/>
    <col min="8" max="8" width="9.28515625" style="113" bestFit="1" customWidth="1"/>
    <col min="9" max="9" width="11.140625" style="113" customWidth="1"/>
    <col min="10" max="12" width="9.140625" style="113"/>
    <col min="13" max="13" width="10.42578125" style="113" customWidth="1"/>
    <col min="14" max="14" width="11.140625" style="114" customWidth="1"/>
    <col min="15" max="16" width="9.140625" style="113"/>
    <col min="17" max="17" width="9.28515625" style="113" bestFit="1" customWidth="1"/>
    <col min="18" max="18" width="12.28515625" style="113" customWidth="1"/>
    <col min="19" max="19" width="9.28515625" style="113" bestFit="1" customWidth="1"/>
    <col min="20" max="20" width="10.5703125" style="113" customWidth="1"/>
    <col min="21" max="21" width="9.7109375" style="113" bestFit="1" customWidth="1"/>
    <col min="22" max="22" width="12" style="113" customWidth="1"/>
    <col min="23" max="23" width="13.140625" style="113" customWidth="1"/>
    <col min="24" max="16384" width="9.140625" style="113"/>
  </cols>
  <sheetData>
    <row r="1" spans="1:23" s="112" customFormat="1" ht="27" customHeight="1">
      <c r="A1" s="133" t="s">
        <v>14</v>
      </c>
      <c r="B1" s="134" t="s">
        <v>206</v>
      </c>
      <c r="C1" s="135" t="s">
        <v>207</v>
      </c>
      <c r="D1" s="136" t="s">
        <v>200</v>
      </c>
      <c r="E1" s="136" t="s">
        <v>208</v>
      </c>
      <c r="F1" s="136" t="s">
        <v>20</v>
      </c>
      <c r="G1" s="136" t="s">
        <v>209</v>
      </c>
      <c r="H1" s="136" t="s">
        <v>210</v>
      </c>
      <c r="I1" s="136" t="s">
        <v>156</v>
      </c>
      <c r="J1" s="136" t="s">
        <v>211</v>
      </c>
      <c r="K1" s="136" t="s">
        <v>29</v>
      </c>
      <c r="L1" s="136" t="s">
        <v>28</v>
      </c>
      <c r="M1" s="137" t="s">
        <v>0</v>
      </c>
      <c r="N1" s="136" t="s">
        <v>1</v>
      </c>
      <c r="O1" s="136" t="s">
        <v>44</v>
      </c>
      <c r="P1" s="136" t="s">
        <v>43</v>
      </c>
      <c r="Q1" s="137" t="s">
        <v>21</v>
      </c>
      <c r="R1" s="227" t="s">
        <v>286</v>
      </c>
      <c r="S1" s="136" t="s">
        <v>215</v>
      </c>
      <c r="T1" s="136" t="s">
        <v>212</v>
      </c>
      <c r="U1" s="136" t="s">
        <v>213</v>
      </c>
      <c r="V1" s="136" t="s">
        <v>214</v>
      </c>
      <c r="W1" s="138" t="s">
        <v>224</v>
      </c>
    </row>
    <row r="2" spans="1:23" ht="21.75" customHeight="1">
      <c r="A2" s="122" t="str">
        <f>SampleNameUserSheet</f>
        <v>will-130ohm</v>
      </c>
      <c r="B2" s="123">
        <f>MeasDate</f>
        <v>41593</v>
      </c>
      <c r="C2" s="124">
        <f>MeasTime</f>
        <v>0.46937500000000004</v>
      </c>
      <c r="D2" s="125">
        <f>Thickness</f>
        <v>5.33E-2</v>
      </c>
      <c r="E2" s="126">
        <f>SampleDoping</f>
        <v>44279440842219.18</v>
      </c>
      <c r="F2" s="126">
        <f>OptConst</f>
        <v>0.7</v>
      </c>
      <c r="G2" s="127">
        <f>SpecMCD</f>
        <v>1000000000000000</v>
      </c>
      <c r="H2" s="126">
        <f>BiasLight</f>
        <v>0</v>
      </c>
      <c r="I2" s="126" t="str">
        <f>AnalysisMode</f>
        <v>QSS</v>
      </c>
      <c r="J2" s="128" t="e">
        <f>MeasuredLifetime</f>
        <v>#DIV/0!</v>
      </c>
      <c r="K2" s="129" t="e">
        <f>Jo</f>
        <v>#VALUE!</v>
      </c>
      <c r="L2" s="130" t="e">
        <f>TauFitIntercept</f>
        <v>#DIV/0!</v>
      </c>
      <c r="M2" s="130">
        <f>SheetResistance</f>
        <v>31.800500430077275</v>
      </c>
      <c r="N2" s="130">
        <f>MeasuredResistivity</f>
        <v>1.6949666729231188</v>
      </c>
      <c r="O2" s="128">
        <f>MaxSuns</f>
        <v>45.613937178948596</v>
      </c>
      <c r="P2" s="129" t="e">
        <f>Traps</f>
        <v>#DIV/0!</v>
      </c>
      <c r="Q2" s="129">
        <f>MaxApparentCD</f>
        <v>628980003383610.12</v>
      </c>
      <c r="R2" s="226" t="e">
        <f ca="1">ImpliedVoc1sun</f>
        <v>#N/A</v>
      </c>
      <c r="S2" s="129">
        <f>RefCellCal</f>
        <v>1.0881126048225958E-2</v>
      </c>
      <c r="T2" s="131">
        <f>A_cal</f>
        <v>2.6482364860442155E-4</v>
      </c>
      <c r="U2" s="131">
        <f>B_cal</f>
        <v>3.190288229684074E-2</v>
      </c>
      <c r="V2" s="126">
        <f>C_cal</f>
        <v>-0.85084884139814176</v>
      </c>
      <c r="W2" s="132" t="str">
        <f>InstrumentSN</f>
        <v>10-125797</v>
      </c>
    </row>
    <row r="4" spans="1:23">
      <c r="A4" s="115" t="s">
        <v>131</v>
      </c>
      <c r="G4" s="116"/>
    </row>
    <row r="5" spans="1:23">
      <c r="A5" s="115" t="s">
        <v>27</v>
      </c>
      <c r="N5" s="113"/>
    </row>
    <row r="6" spans="1:23">
      <c r="A6" s="115" t="s">
        <v>30</v>
      </c>
    </row>
    <row r="8" spans="1:23">
      <c r="A8" s="113" t="s">
        <v>41</v>
      </c>
    </row>
    <row r="9" spans="1:23">
      <c r="A9" s="113" t="s">
        <v>42</v>
      </c>
    </row>
    <row r="10" spans="1:23" s="117" customFormat="1">
      <c r="A10" s="117" t="s">
        <v>32</v>
      </c>
      <c r="B10" s="117" t="s">
        <v>15</v>
      </c>
      <c r="C10" s="117" t="s">
        <v>19</v>
      </c>
      <c r="D10" s="117" t="s">
        <v>33</v>
      </c>
      <c r="E10" s="117" t="s">
        <v>34</v>
      </c>
      <c r="F10" s="117" t="s">
        <v>216</v>
      </c>
      <c r="G10" s="117" t="s">
        <v>217</v>
      </c>
      <c r="H10" s="117" t="s">
        <v>218</v>
      </c>
      <c r="I10" s="117" t="s">
        <v>35</v>
      </c>
      <c r="J10" s="117" t="s">
        <v>36</v>
      </c>
      <c r="K10" s="117" t="s">
        <v>40</v>
      </c>
      <c r="L10" s="117" t="s">
        <v>39</v>
      </c>
      <c r="M10" s="117" t="s">
        <v>37</v>
      </c>
      <c r="N10" s="117" t="s">
        <v>38</v>
      </c>
      <c r="O10" s="117" t="s">
        <v>45</v>
      </c>
      <c r="P10" s="117" t="s">
        <v>43</v>
      </c>
      <c r="Q10" s="118" t="s">
        <v>46</v>
      </c>
      <c r="R10" s="117" t="s">
        <v>287</v>
      </c>
      <c r="S10" s="117" t="s">
        <v>219</v>
      </c>
      <c r="T10" s="117" t="s">
        <v>220</v>
      </c>
      <c r="U10" s="117" t="s">
        <v>221</v>
      </c>
      <c r="V10" s="117" t="s">
        <v>222</v>
      </c>
      <c r="W10" s="117" t="s">
        <v>223</v>
      </c>
    </row>
    <row r="11" spans="1:23">
      <c r="C11" s="119"/>
      <c r="D11" s="119"/>
    </row>
    <row r="20" spans="2:7" s="120" customFormat="1">
      <c r="C20" s="121"/>
      <c r="D20" s="119"/>
    </row>
    <row r="24" spans="2:7">
      <c r="B24" s="120"/>
      <c r="C24" s="121"/>
      <c r="D24" s="119"/>
      <c r="E24" s="120"/>
      <c r="F24" s="120"/>
      <c r="G24" s="120"/>
    </row>
  </sheetData>
  <phoneticPr fontId="5" type="noConversion"/>
  <pageMargins left="0.75" right="0.75" top="1" bottom="1" header="0.5" footer="0.5"/>
  <pageSetup orientation="portrait" horizontalDpi="4294967293"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election activeCell="K11" sqref="K11"/>
    </sheetView>
  </sheetViews>
  <sheetFormatPr defaultRowHeight="12.75"/>
  <cols>
    <col min="1" max="1" width="9.28515625" bestFit="1" customWidth="1"/>
    <col min="2" max="2" width="13.7109375" customWidth="1"/>
    <col min="3" max="3" width="11.5703125" customWidth="1"/>
    <col min="4" max="5" width="12.42578125" bestFit="1" customWidth="1"/>
    <col min="6" max="6" width="9.28515625" bestFit="1" customWidth="1"/>
    <col min="7" max="7" width="12.42578125" bestFit="1" customWidth="1"/>
    <col min="8" max="8" width="12.42578125" customWidth="1"/>
    <col min="9" max="9" width="9.28515625" bestFit="1" customWidth="1"/>
  </cols>
  <sheetData>
    <row r="1" spans="1:26" ht="38.25">
      <c r="A1" s="230" t="s">
        <v>329</v>
      </c>
      <c r="B1" s="230" t="s">
        <v>55</v>
      </c>
      <c r="C1" s="230" t="s">
        <v>56</v>
      </c>
      <c r="D1" s="230" t="s">
        <v>181</v>
      </c>
      <c r="E1" s="230" t="s">
        <v>182</v>
      </c>
      <c r="F1" s="230" t="s">
        <v>382</v>
      </c>
      <c r="G1" s="230" t="s">
        <v>11</v>
      </c>
      <c r="H1" s="230" t="s">
        <v>351</v>
      </c>
      <c r="I1" s="230" t="s">
        <v>350</v>
      </c>
      <c r="J1" s="229"/>
      <c r="K1" s="228"/>
      <c r="L1" s="228"/>
      <c r="M1" s="228"/>
      <c r="N1" s="228"/>
      <c r="O1" s="228"/>
      <c r="P1" s="228"/>
      <c r="Q1" s="228"/>
      <c r="R1" s="228"/>
      <c r="S1" s="228"/>
      <c r="T1" s="228"/>
      <c r="U1" s="228"/>
      <c r="V1" s="228"/>
      <c r="W1" s="228"/>
      <c r="X1" s="228"/>
      <c r="Y1" s="228"/>
      <c r="Z1" s="228"/>
    </row>
    <row r="2" spans="1:26">
      <c r="A2" s="257">
        <f>Calc!A9</f>
        <v>1.2789999999999999E-4</v>
      </c>
      <c r="B2" s="257">
        <f>Calc!B9</f>
        <v>0.20220299999999999</v>
      </c>
      <c r="C2" s="257">
        <f>Calc!C9</f>
        <v>0.424757</v>
      </c>
      <c r="D2" s="257">
        <f>Calc!I9</f>
        <v>432032974756884.19</v>
      </c>
      <c r="E2" s="257">
        <f>Calc!P9</f>
        <v>0</v>
      </c>
      <c r="F2" s="258">
        <f>Calc!S9</f>
        <v>0</v>
      </c>
      <c r="G2" s="257" t="e">
        <f>Calc!O9</f>
        <v>#DIV/0!</v>
      </c>
      <c r="H2" s="229" t="e">
        <f>Calc!X9</f>
        <v>#DIV/0!</v>
      </c>
      <c r="I2" s="229" t="str">
        <f>Calc!Y9</f>
        <v/>
      </c>
      <c r="J2" s="229"/>
      <c r="K2" s="228"/>
      <c r="L2" s="228"/>
      <c r="M2" s="228"/>
      <c r="N2" s="228"/>
      <c r="O2" s="228"/>
      <c r="P2" s="228"/>
      <c r="Q2" s="228"/>
      <c r="R2" s="228"/>
      <c r="S2" s="228"/>
      <c r="T2" s="228"/>
      <c r="U2" s="228"/>
      <c r="V2" s="228"/>
      <c r="W2" s="228"/>
      <c r="X2" s="228"/>
      <c r="Y2" s="228"/>
      <c r="Z2" s="228"/>
    </row>
    <row r="3" spans="1:26">
      <c r="A3" s="257">
        <f>Calc!A10</f>
        <v>3.8390000000000001E-4</v>
      </c>
      <c r="B3" s="257">
        <f>Calc!B10</f>
        <v>0.293182</v>
      </c>
      <c r="C3" s="257">
        <f>Calc!C10</f>
        <v>0.49633100000000002</v>
      </c>
      <c r="D3" s="257">
        <f>Calc!I10</f>
        <v>628980003383610.12</v>
      </c>
      <c r="E3" s="257">
        <f>Calc!P10</f>
        <v>0</v>
      </c>
      <c r="F3" s="258">
        <f>Calc!S10</f>
        <v>0</v>
      </c>
      <c r="G3" s="257" t="e">
        <f>Calc!O10</f>
        <v>#DIV/0!</v>
      </c>
      <c r="H3" s="229" t="e">
        <f>Calc!X10</f>
        <v>#DIV/0!</v>
      </c>
      <c r="I3" s="229" t="str">
        <f>Calc!Y10</f>
        <v/>
      </c>
      <c r="J3" s="229"/>
    </row>
    <row r="4" spans="1:26">
      <c r="A4" s="257">
        <f>Calc!A11</f>
        <v>6.399E-4</v>
      </c>
      <c r="B4" s="257">
        <f>Calc!B11</f>
        <v>0.25459199999999998</v>
      </c>
      <c r="C4" s="257">
        <f>Calc!C11</f>
        <v>0.49629099999999998</v>
      </c>
      <c r="D4" s="257">
        <f>Calc!I11</f>
        <v>545258313548537.31</v>
      </c>
      <c r="E4" s="257">
        <f>Calc!P11</f>
        <v>3.8374949929399784E-6</v>
      </c>
      <c r="F4" s="258">
        <f>Calc!S11</f>
        <v>260583.31722505551</v>
      </c>
      <c r="G4" s="257" t="e">
        <f>Calc!O11</f>
        <v>#DIV/0!</v>
      </c>
      <c r="H4" s="229" t="e">
        <f>Calc!X11</f>
        <v>#DIV/0!</v>
      </c>
      <c r="I4" s="229" t="e">
        <f>Calc!Y11</f>
        <v>#DIV/0!</v>
      </c>
      <c r="J4" s="229"/>
    </row>
    <row r="5" spans="1:26">
      <c r="A5" s="257">
        <f>Calc!A12</f>
        <v>8.9590000000000004E-4</v>
      </c>
      <c r="B5" s="257">
        <f>Calc!B12</f>
        <v>0.21709899999999999</v>
      </c>
      <c r="C5" s="257">
        <f>Calc!C12</f>
        <v>0.462395</v>
      </c>
      <c r="D5" s="257">
        <f>Calc!I12</f>
        <v>464175523013892.56</v>
      </c>
      <c r="E5" s="257">
        <f>Calc!P12</f>
        <v>3.5063158227529795E-6</v>
      </c>
      <c r="F5" s="258">
        <f>Calc!S12</f>
        <v>285196.86071881163</v>
      </c>
      <c r="G5" s="257" t="e">
        <f>Calc!O12</f>
        <v>#DIV/0!</v>
      </c>
      <c r="H5" s="229" t="e">
        <f>Calc!X12</f>
        <v>#DIV/0!</v>
      </c>
      <c r="I5" s="229" t="e">
        <f>Calc!Y12</f>
        <v>#DIV/0!</v>
      </c>
      <c r="J5" s="229"/>
    </row>
    <row r="6" spans="1:26">
      <c r="A6" s="257">
        <f>Calc!A13</f>
        <v>1.1519E-3</v>
      </c>
      <c r="B6" s="257">
        <f>Calc!B13</f>
        <v>0.184446</v>
      </c>
      <c r="C6" s="257">
        <f>Calc!C13</f>
        <v>0.40050200000000002</v>
      </c>
      <c r="D6" s="257">
        <f>Calc!I13</f>
        <v>393770831035492.25</v>
      </c>
      <c r="E6" s="257">
        <f>Calc!P13</f>
        <v>3.4341620007682622E-6</v>
      </c>
      <c r="F6" s="258">
        <f>Calc!S13</f>
        <v>291189.54999999236</v>
      </c>
      <c r="G6" s="257" t="e">
        <f>Calc!O13</f>
        <v>#DIV/0!</v>
      </c>
      <c r="H6" s="259" t="e">
        <f>Calc!X13</f>
        <v>#DIV/0!</v>
      </c>
      <c r="I6" s="260" t="e">
        <f>Calc!Y13</f>
        <v>#DIV/0!</v>
      </c>
      <c r="J6" s="229"/>
    </row>
    <row r="7" spans="1:26">
      <c r="A7" s="257">
        <f>Calc!A14</f>
        <v>1.4078999999999999E-3</v>
      </c>
      <c r="B7" s="257">
        <f>Calc!B14</f>
        <v>0.155977</v>
      </c>
      <c r="C7" s="257">
        <f>Calc!C14</f>
        <v>0.34642499999999998</v>
      </c>
      <c r="D7" s="257">
        <f>Calc!I14</f>
        <v>332550446216967.69</v>
      </c>
      <c r="E7" s="257">
        <f>Calc!P14</f>
        <v>3.3529743773202268E-6</v>
      </c>
      <c r="F7" s="258">
        <f>Calc!S14</f>
        <v>298240.75306849706</v>
      </c>
      <c r="G7" s="257" t="e">
        <f>Calc!O14</f>
        <v>#DIV/0!</v>
      </c>
      <c r="H7" s="259" t="e">
        <f>Calc!X14</f>
        <v>#DIV/0!</v>
      </c>
      <c r="I7" s="260" t="e">
        <f>Calc!Y14</f>
        <v>#DIV/0!</v>
      </c>
      <c r="J7" s="229"/>
    </row>
    <row r="8" spans="1:26">
      <c r="A8" s="257">
        <f>Calc!A15</f>
        <v>1.6639000000000001E-3</v>
      </c>
      <c r="B8" s="257">
        <f>Calc!B15</f>
        <v>0.13179199999999999</v>
      </c>
      <c r="C8" s="257">
        <f>Calc!C15</f>
        <v>0.30016500000000002</v>
      </c>
      <c r="D8" s="257">
        <f>Calc!I15</f>
        <v>280663796725105.28</v>
      </c>
      <c r="E8" s="257">
        <f>Calc!P15</f>
        <v>3.2659405144513302E-6</v>
      </c>
      <c r="F8" s="258">
        <f>Calc!S15</f>
        <v>306188.92995005049</v>
      </c>
      <c r="G8" s="257" t="e">
        <f>Calc!O15</f>
        <v>#DIV/0!</v>
      </c>
      <c r="H8" s="259" t="e">
        <f>Calc!X15</f>
        <v>#DIV/0!</v>
      </c>
      <c r="I8" s="260" t="e">
        <f>Calc!Y15</f>
        <v>#DIV/0!</v>
      </c>
      <c r="J8" s="229"/>
    </row>
    <row r="9" spans="1:26">
      <c r="A9" s="257">
        <f>Calc!A16</f>
        <v>1.9199E-3</v>
      </c>
      <c r="B9" s="257">
        <f>Calc!B16</f>
        <v>0.111986</v>
      </c>
      <c r="C9" s="257">
        <f>Calc!C16</f>
        <v>0.26099099999999997</v>
      </c>
      <c r="D9" s="257">
        <f>Calc!I16</f>
        <v>238256341837979.56</v>
      </c>
      <c r="E9" s="257">
        <f>Calc!P16</f>
        <v>3.1886060322793355E-6</v>
      </c>
      <c r="F9" s="258">
        <f>Calc!S16</f>
        <v>313615.34404286067</v>
      </c>
      <c r="G9" s="257" t="e">
        <f>Calc!O16</f>
        <v>#DIV/0!</v>
      </c>
      <c r="H9" s="259" t="e">
        <f>Calc!X16</f>
        <v>#DIV/0!</v>
      </c>
      <c r="I9" s="260" t="e">
        <f>Calc!Y16</f>
        <v>#DIV/0!</v>
      </c>
      <c r="J9" s="229"/>
    </row>
    <row r="10" spans="1:26">
      <c r="A10" s="257">
        <f>Calc!A17</f>
        <v>2.1759000000000001E-3</v>
      </c>
      <c r="B10" s="257">
        <f>Calc!B17</f>
        <v>9.5163600000000001E-2</v>
      </c>
      <c r="C10" s="257">
        <f>Calc!C17</f>
        <v>0.227219</v>
      </c>
      <c r="D10" s="257">
        <f>Calc!I17</f>
        <v>202297972956816.41</v>
      </c>
      <c r="E10" s="257">
        <f>Calc!P17</f>
        <v>3.1097738864131409E-6</v>
      </c>
      <c r="F10" s="258">
        <f>Calc!S17</f>
        <v>321565.67772996571</v>
      </c>
      <c r="G10" s="257" t="e">
        <f>Calc!O17</f>
        <v>#DIV/0!</v>
      </c>
      <c r="H10" s="259" t="e">
        <f>Calc!X17</f>
        <v>#DIV/0!</v>
      </c>
      <c r="I10" s="260" t="e">
        <f>Calc!Y17</f>
        <v>#DIV/0!</v>
      </c>
      <c r="J10" s="229"/>
    </row>
    <row r="11" spans="1:26">
      <c r="A11" s="257">
        <f>Calc!A18</f>
        <v>2.4318999999999999E-3</v>
      </c>
      <c r="B11" s="257">
        <f>Calc!B18</f>
        <v>8.0697199999999997E-2</v>
      </c>
      <c r="C11" s="257">
        <f>Calc!C18</f>
        <v>0.19823499999999999</v>
      </c>
      <c r="D11" s="257">
        <f>Calc!I18</f>
        <v>171421044127332.81</v>
      </c>
      <c r="E11" s="257">
        <f>Calc!P18</f>
        <v>3.0204087958133309E-6</v>
      </c>
      <c r="F11" s="258">
        <f>Calc!S18</f>
        <v>331080.0812768318</v>
      </c>
      <c r="G11" s="257" t="e">
        <f>Calc!O18</f>
        <v>#DIV/0!</v>
      </c>
      <c r="H11" s="259" t="e">
        <f>Calc!X18</f>
        <v>#DIV/0!</v>
      </c>
      <c r="I11" s="260" t="e">
        <f>Calc!Y18</f>
        <v>#DIV/0!</v>
      </c>
      <c r="J11" s="229"/>
    </row>
    <row r="12" spans="1:26">
      <c r="A12" s="257">
        <f>Calc!A19</f>
        <v>2.6879E-3</v>
      </c>
      <c r="B12" s="257">
        <f>Calc!B19</f>
        <v>6.8682800000000002E-2</v>
      </c>
      <c r="C12" s="257">
        <f>Calc!C19</f>
        <v>0.17330999999999999</v>
      </c>
      <c r="D12" s="257">
        <f>Calc!I19</f>
        <v>145810117616063.72</v>
      </c>
      <c r="E12" s="257">
        <f>Calc!P19</f>
        <v>2.9386371418886113E-6</v>
      </c>
      <c r="F12" s="258">
        <f>Calc!S19</f>
        <v>340293.01595642668</v>
      </c>
      <c r="G12" s="257" t="e">
        <f>Calc!O19</f>
        <v>#DIV/0!</v>
      </c>
      <c r="H12" s="259" t="e">
        <f>Calc!X19</f>
        <v>#DIV/0!</v>
      </c>
      <c r="I12" s="260" t="e">
        <f>Calc!Y19</f>
        <v>#DIV/0!</v>
      </c>
      <c r="J12" s="229"/>
    </row>
    <row r="13" spans="1:26">
      <c r="A13" s="257">
        <f>Calc!A20</f>
        <v>2.9439000000000002E-3</v>
      </c>
      <c r="B13" s="257">
        <f>Calc!B20</f>
        <v>5.89639E-2</v>
      </c>
      <c r="C13" s="257">
        <f>Calc!C20</f>
        <v>0.15192800000000001</v>
      </c>
      <c r="D13" s="257">
        <f>Calc!I20</f>
        <v>125114404661118.75</v>
      </c>
      <c r="E13" s="257">
        <f>Calc!P20</f>
        <v>2.8764141621255616E-6</v>
      </c>
      <c r="F13" s="258">
        <f>Calc!S20</f>
        <v>347654.41384639259</v>
      </c>
      <c r="G13" s="257" t="e">
        <f>Calc!O20</f>
        <v>#DIV/0!</v>
      </c>
      <c r="H13" s="259" t="e">
        <f>Calc!X20</f>
        <v>#DIV/0!</v>
      </c>
      <c r="I13" s="260" t="e">
        <f>Calc!Y20</f>
        <v>#DIV/0!</v>
      </c>
      <c r="J13" s="229"/>
    </row>
    <row r="14" spans="1:26">
      <c r="A14" s="257">
        <f>Calc!A21</f>
        <v>3.1998999999999999E-3</v>
      </c>
      <c r="B14" s="257">
        <f>Calc!B21</f>
        <v>5.0375999999999997E-2</v>
      </c>
      <c r="C14" s="257">
        <f>Calc!C21</f>
        <v>0.13333600000000001</v>
      </c>
      <c r="D14" s="257">
        <f>Calc!I21</f>
        <v>106843666776489.58</v>
      </c>
      <c r="E14" s="257">
        <f>Calc!P21</f>
        <v>2.798873609326022E-6</v>
      </c>
      <c r="F14" s="258">
        <f>Calc!S21</f>
        <v>357286.0209815795</v>
      </c>
      <c r="G14" s="257" t="e">
        <f>Calc!O21</f>
        <v>#DIV/0!</v>
      </c>
      <c r="H14" s="259" t="e">
        <f>Calc!X21</f>
        <v>#DIV/0!</v>
      </c>
      <c r="I14" s="260" t="e">
        <f>Calc!Y21</f>
        <v>#DIV/0!</v>
      </c>
      <c r="J14" s="229"/>
    </row>
    <row r="15" spans="1:26">
      <c r="A15" s="257">
        <f>Calc!A22</f>
        <v>3.4559E-3</v>
      </c>
      <c r="B15" s="257">
        <f>Calc!B22</f>
        <v>4.33312E-2</v>
      </c>
      <c r="C15" s="257">
        <f>Calc!C22</f>
        <v>0.11726300000000001</v>
      </c>
      <c r="D15" s="257">
        <f>Calc!I22</f>
        <v>91867675726636.156</v>
      </c>
      <c r="E15" s="257">
        <f>Calc!P22</f>
        <v>2.7364256546248861E-6</v>
      </c>
      <c r="F15" s="258">
        <f>Calc!S22</f>
        <v>365439.73835087032</v>
      </c>
      <c r="G15" s="257" t="e">
        <f>Calc!O22</f>
        <v>#DIV/0!</v>
      </c>
      <c r="H15" s="259" t="e">
        <f>Calc!X22</f>
        <v>#DIV/0!</v>
      </c>
      <c r="I15" s="260" t="e">
        <f>Calc!Y22</f>
        <v>#DIV/0!</v>
      </c>
      <c r="J15" s="229"/>
    </row>
    <row r="16" spans="1:26">
      <c r="A16" s="257">
        <f>Calc!A23</f>
        <v>3.7119000000000002E-3</v>
      </c>
      <c r="B16" s="257">
        <f>Calc!B23</f>
        <v>3.7079500000000001E-2</v>
      </c>
      <c r="C16" s="257">
        <f>Calc!C23</f>
        <v>0.103226</v>
      </c>
      <c r="D16" s="257">
        <f>Calc!I23</f>
        <v>78586723517959.187</v>
      </c>
      <c r="E16" s="257">
        <f>Calc!P23</f>
        <v>2.6591449348962005E-6</v>
      </c>
      <c r="F16" s="258">
        <f>Calc!S23</f>
        <v>376060.32347413921</v>
      </c>
      <c r="G16" s="257" t="e">
        <f>Calc!O23</f>
        <v>#DIV/0!</v>
      </c>
      <c r="H16" s="259" t="e">
        <f>Calc!X23</f>
        <v>#DIV/0!</v>
      </c>
      <c r="I16" s="260" t="e">
        <f>Calc!Y23</f>
        <v>#DIV/0!</v>
      </c>
      <c r="J16" s="229"/>
    </row>
    <row r="17" spans="1:10">
      <c r="A17" s="257">
        <f>Calc!A24</f>
        <v>3.9678999999999999E-3</v>
      </c>
      <c r="B17" s="257">
        <f>Calc!B24</f>
        <v>3.2027899999999998E-2</v>
      </c>
      <c r="C17" s="257">
        <f>Calc!C24</f>
        <v>9.0948399999999999E-2</v>
      </c>
      <c r="D17" s="257">
        <f>Calc!I24</f>
        <v>67861541451064.07</v>
      </c>
      <c r="E17" s="257">
        <f>Calc!P24</f>
        <v>2.6062170550190191E-6</v>
      </c>
      <c r="F17" s="258">
        <f>Calc!S24</f>
        <v>383697.54148827941</v>
      </c>
      <c r="G17" s="257" t="e">
        <f>Calc!O24</f>
        <v>#DIV/0!</v>
      </c>
      <c r="H17" s="259" t="e">
        <f>Calc!X24</f>
        <v>#DIV/0!</v>
      </c>
      <c r="I17" s="260" t="e">
        <f>Calc!Y24</f>
        <v>#DIV/0!</v>
      </c>
      <c r="J17" s="229"/>
    </row>
    <row r="18" spans="1:10">
      <c r="A18" s="257">
        <f>Calc!A25</f>
        <v>4.2239000000000001E-3</v>
      </c>
      <c r="B18" s="257">
        <f>Calc!B25</f>
        <v>2.7498700000000001E-2</v>
      </c>
      <c r="C18" s="257">
        <f>Calc!C25</f>
        <v>8.0296000000000006E-2</v>
      </c>
      <c r="D18" s="257">
        <f>Calc!I25</f>
        <v>58250343423680.937</v>
      </c>
      <c r="E18" s="257">
        <f>Calc!P25</f>
        <v>2.5338826883771142E-6</v>
      </c>
      <c r="F18" s="258">
        <f>Calc!S25</f>
        <v>394650.95872678416</v>
      </c>
      <c r="G18" s="257" t="e">
        <f>Calc!O25</f>
        <v>#DIV/0!</v>
      </c>
      <c r="H18" s="259" t="e">
        <f>Calc!X25</f>
        <v>#DIV/0!</v>
      </c>
      <c r="I18" s="260" t="e">
        <f>Calc!Y25</f>
        <v>#DIV/0!</v>
      </c>
      <c r="J18" s="229"/>
    </row>
    <row r="19" spans="1:10">
      <c r="A19" s="257">
        <f>Calc!A26</f>
        <v>4.4799000000000002E-3</v>
      </c>
      <c r="B19" s="257">
        <f>Calc!B26</f>
        <v>2.38582E-2</v>
      </c>
      <c r="C19" s="257">
        <f>Calc!C26</f>
        <v>7.0941100000000007E-2</v>
      </c>
      <c r="D19" s="257">
        <f>Calc!I26</f>
        <v>50528391118858.031</v>
      </c>
      <c r="E19" s="257">
        <f>Calc!P26</f>
        <v>2.4878229918241247E-6</v>
      </c>
      <c r="F19" s="258">
        <f>Calc!S26</f>
        <v>401957.59562387958</v>
      </c>
      <c r="G19" s="257" t="e">
        <f>Calc!O26</f>
        <v>#DIV/0!</v>
      </c>
      <c r="H19" s="259" t="e">
        <f>Calc!X26</f>
        <v>#DIV/0!</v>
      </c>
      <c r="I19" s="260" t="e">
        <f>Calc!Y26</f>
        <v>#DIV/0!</v>
      </c>
      <c r="J19" s="229"/>
    </row>
    <row r="20" spans="1:10">
      <c r="A20" s="257">
        <f>Calc!A27</f>
        <v>4.7359000000000004E-3</v>
      </c>
      <c r="B20" s="257">
        <f>Calc!B27</f>
        <v>2.0599099999999999E-2</v>
      </c>
      <c r="C20" s="257">
        <f>Calc!C27</f>
        <v>6.2833899999999998E-2</v>
      </c>
      <c r="D20" s="257">
        <f>Calc!I27</f>
        <v>43618022578557.305</v>
      </c>
      <c r="E20" s="257">
        <f>Calc!P27</f>
        <v>2.424676938504103E-6</v>
      </c>
      <c r="F20" s="258">
        <f>Calc!S27</f>
        <v>412425.85235884879</v>
      </c>
      <c r="G20" s="257" t="e">
        <f>Calc!O27</f>
        <v>#DIV/0!</v>
      </c>
      <c r="H20" s="259" t="e">
        <f>Calc!X27</f>
        <v>#DIV/0!</v>
      </c>
      <c r="I20" s="260" t="e">
        <f>Calc!Y27</f>
        <v>#DIV/0!</v>
      </c>
      <c r="J20" s="229"/>
    </row>
    <row r="21" spans="1:10">
      <c r="A21" s="257">
        <f>Calc!A28</f>
        <v>4.9918999999999996E-3</v>
      </c>
      <c r="B21" s="257">
        <f>Calc!B28</f>
        <v>1.77936E-2</v>
      </c>
      <c r="C21" s="257">
        <f>Calc!C28</f>
        <v>5.5670400000000002E-2</v>
      </c>
      <c r="D21" s="257">
        <f>Calc!I28</f>
        <v>37671417026865.234</v>
      </c>
      <c r="E21" s="257">
        <f>Calc!P28</f>
        <v>2.3635758303766479E-6</v>
      </c>
      <c r="F21" s="258">
        <f>Calc!S28</f>
        <v>423087.56408582121</v>
      </c>
      <c r="G21" s="257" t="e">
        <f>Calc!O28</f>
        <v>#DIV/0!</v>
      </c>
      <c r="H21" s="259" t="e">
        <f>Calc!X28</f>
        <v>#DIV/0!</v>
      </c>
      <c r="I21" s="260" t="e">
        <f>Calc!Y28</f>
        <v>#DIV/0!</v>
      </c>
      <c r="J21" s="229"/>
    </row>
    <row r="22" spans="1:10">
      <c r="A22" s="257">
        <f>Calc!A29</f>
        <v>5.2478999999999998E-3</v>
      </c>
      <c r="B22" s="257">
        <f>Calc!B29</f>
        <v>1.5634800000000001E-2</v>
      </c>
      <c r="C22" s="257">
        <f>Calc!C29</f>
        <v>4.9349700000000003E-2</v>
      </c>
      <c r="D22" s="257">
        <f>Calc!I29</f>
        <v>33096834290081.367</v>
      </c>
      <c r="E22" s="257">
        <f>Calc!P29</f>
        <v>2.3425230017065469E-6</v>
      </c>
      <c r="F22" s="258">
        <f>Calc!S29</f>
        <v>426889.98143353639</v>
      </c>
      <c r="G22" s="257" t="e">
        <f>Calc!O29</f>
        <v>#DIV/0!</v>
      </c>
      <c r="H22" s="259" t="e">
        <f>Calc!X29</f>
        <v>#DIV/0!</v>
      </c>
      <c r="I22" s="260" t="e">
        <f>Calc!Y29</f>
        <v>#DIV/0!</v>
      </c>
      <c r="J22" s="229"/>
    </row>
    <row r="23" spans="1:10">
      <c r="A23" s="257">
        <f>Calc!A30</f>
        <v>5.5038999999999999E-3</v>
      </c>
      <c r="B23" s="257">
        <f>Calc!B30</f>
        <v>1.35753E-2</v>
      </c>
      <c r="C23" s="257">
        <f>Calc!C30</f>
        <v>4.3793199999999997E-2</v>
      </c>
      <c r="D23" s="257">
        <f>Calc!I30</f>
        <v>28733705756299.961</v>
      </c>
      <c r="E23" s="257">
        <f>Calc!P30</f>
        <v>2.2917481262980496E-6</v>
      </c>
      <c r="F23" s="258">
        <f>Calc!S30</f>
        <v>436347.97819264926</v>
      </c>
      <c r="G23" s="257" t="e">
        <f>Calc!O30</f>
        <v>#DIV/0!</v>
      </c>
      <c r="H23" s="259" t="e">
        <f>Calc!X30</f>
        <v>#DIV/0!</v>
      </c>
      <c r="I23" s="260" t="e">
        <f>Calc!Y30</f>
        <v>#DIV/0!</v>
      </c>
      <c r="J23" s="229"/>
    </row>
    <row r="24" spans="1:10">
      <c r="A24" s="257">
        <f>Calc!A31</f>
        <v>5.7599000000000001E-3</v>
      </c>
      <c r="B24" s="257">
        <f>Calc!B31</f>
        <v>1.16767E-2</v>
      </c>
      <c r="C24" s="257">
        <f>Calc!C31</f>
        <v>3.8832899999999997E-2</v>
      </c>
      <c r="D24" s="257">
        <f>Calc!I31</f>
        <v>24712352744440.254</v>
      </c>
      <c r="E24" s="257">
        <f>Calc!P31</f>
        <v>2.2227785412334166E-6</v>
      </c>
      <c r="F24" s="258">
        <f>Calc!S31</f>
        <v>449887.24673740246</v>
      </c>
      <c r="G24" s="257" t="e">
        <f>Calc!O31</f>
        <v>#DIV/0!</v>
      </c>
      <c r="H24" s="259" t="e">
        <f>Calc!X31</f>
        <v>#DIV/0!</v>
      </c>
      <c r="I24" s="260" t="e">
        <f>Calc!Y31</f>
        <v>#DIV/0!</v>
      </c>
      <c r="J24" s="229"/>
    </row>
    <row r="25" spans="1:10">
      <c r="A25" s="257">
        <f>Calc!A32</f>
        <v>6.0159000000000002E-3</v>
      </c>
      <c r="B25" s="257">
        <f>Calc!B32</f>
        <v>1.02714E-2</v>
      </c>
      <c r="C25" s="257">
        <f>Calc!C32</f>
        <v>3.4479999999999997E-2</v>
      </c>
      <c r="D25" s="257">
        <f>Calc!I32</f>
        <v>21736402756920.93</v>
      </c>
      <c r="E25" s="257">
        <f>Calc!P32</f>
        <v>2.201924079720536E-6</v>
      </c>
      <c r="F25" s="258">
        <f>Calc!S32</f>
        <v>454148.1533335328</v>
      </c>
      <c r="G25" s="257" t="e">
        <f>Calc!O32</f>
        <v>#DIV/0!</v>
      </c>
      <c r="H25" s="259" t="e">
        <f>Calc!X32</f>
        <v>#DIV/0!</v>
      </c>
      <c r="I25" s="260" t="e">
        <f>Calc!Y32</f>
        <v>#DIV/0!</v>
      </c>
      <c r="J25" s="229"/>
    </row>
    <row r="26" spans="1:10">
      <c r="A26" s="257">
        <f>Calc!A33</f>
        <v>6.2719000000000004E-3</v>
      </c>
      <c r="B26" s="257">
        <f>Calc!B33</f>
        <v>8.8833799999999997E-3</v>
      </c>
      <c r="C26" s="257">
        <f>Calc!C33</f>
        <v>3.07523E-2</v>
      </c>
      <c r="D26" s="257">
        <f>Calc!I33</f>
        <v>18797520067926.242</v>
      </c>
      <c r="E26" s="257">
        <f>Calc!P33</f>
        <v>2.1350344146809438E-6</v>
      </c>
      <c r="F26" s="258">
        <f>Calc!S33</f>
        <v>468376.42876632442</v>
      </c>
      <c r="G26" s="257" t="e">
        <f>Calc!O33</f>
        <v>#DIV/0!</v>
      </c>
      <c r="H26" s="259" t="e">
        <f>Calc!X33</f>
        <v>#DIV/0!</v>
      </c>
      <c r="I26" s="260" t="e">
        <f>Calc!Y33</f>
        <v>#DIV/0!</v>
      </c>
      <c r="J26" s="229"/>
    </row>
    <row r="27" spans="1:10">
      <c r="A27" s="257">
        <f>Calc!A34</f>
        <v>6.5278999999999997E-3</v>
      </c>
      <c r="B27" s="257">
        <f>Calc!B34</f>
        <v>8.1156700000000002E-3</v>
      </c>
      <c r="C27" s="257">
        <f>Calc!C34</f>
        <v>2.7345700000000001E-2</v>
      </c>
      <c r="D27" s="257">
        <f>Calc!I34</f>
        <v>17172235995284.484</v>
      </c>
      <c r="E27" s="257">
        <f>Calc!P34</f>
        <v>2.1934095431525532E-6</v>
      </c>
      <c r="F27" s="258">
        <f>Calc!S34</f>
        <v>455911.12262532907</v>
      </c>
      <c r="G27" s="257" t="e">
        <f>Calc!O34</f>
        <v>#DIV/0!</v>
      </c>
      <c r="H27" s="259" t="e">
        <f>Calc!X34</f>
        <v>#DIV/0!</v>
      </c>
      <c r="I27" s="260" t="e">
        <f>Calc!Y34</f>
        <v>#DIV/0!</v>
      </c>
      <c r="J27" s="229"/>
    </row>
    <row r="28" spans="1:10">
      <c r="A28" s="257">
        <f>Calc!A35</f>
        <v>6.7838999999999998E-3</v>
      </c>
      <c r="B28" s="257">
        <f>Calc!B35</f>
        <v>6.9247199999999997E-3</v>
      </c>
      <c r="C28" s="257">
        <f>Calc!C35</f>
        <v>2.43073E-2</v>
      </c>
      <c r="D28" s="257">
        <f>Calc!I35</f>
        <v>14651218849226.986</v>
      </c>
      <c r="E28" s="257">
        <f>Calc!P35</f>
        <v>2.1053240901193414E-6</v>
      </c>
      <c r="F28" s="258">
        <f>Calc!S35</f>
        <v>474986.17763560935</v>
      </c>
      <c r="G28" s="257" t="e">
        <f>Calc!O35</f>
        <v>#DIV/0!</v>
      </c>
      <c r="H28" s="259" t="e">
        <f>Calc!X35</f>
        <v>#DIV/0!</v>
      </c>
      <c r="I28" s="260" t="e">
        <f>Calc!Y35</f>
        <v>#DIV/0!</v>
      </c>
      <c r="J28" s="229"/>
    </row>
    <row r="29" spans="1:10">
      <c r="A29" s="257">
        <f>Calc!A36</f>
        <v>7.0399E-3</v>
      </c>
      <c r="B29" s="257">
        <f>Calc!B36</f>
        <v>6.0463899999999996E-3</v>
      </c>
      <c r="C29" s="257">
        <f>Calc!C36</f>
        <v>2.1648299999999999E-2</v>
      </c>
      <c r="D29" s="257">
        <f>Calc!I36</f>
        <v>12792186110997.291</v>
      </c>
      <c r="E29" s="257">
        <f>Calc!P36</f>
        <v>2.0639677019220107E-6</v>
      </c>
      <c r="F29" s="258">
        <f>Calc!S36</f>
        <v>484503.6403075484</v>
      </c>
      <c r="G29" s="257" t="e">
        <f>Calc!O36</f>
        <v>#DIV/0!</v>
      </c>
      <c r="H29" s="259" t="e">
        <f>Calc!X36</f>
        <v>#DIV/0!</v>
      </c>
      <c r="I29" s="260" t="e">
        <f>Calc!Y36</f>
        <v>#DIV/0!</v>
      </c>
      <c r="J29" s="229"/>
    </row>
    <row r="30" spans="1:10">
      <c r="A30" s="257">
        <f>Calc!A37</f>
        <v>7.2959000000000001E-3</v>
      </c>
      <c r="B30" s="257">
        <f>Calc!B37</f>
        <v>5.50375E-3</v>
      </c>
      <c r="C30" s="257">
        <f>Calc!C37</f>
        <v>1.9240500000000001E-2</v>
      </c>
      <c r="D30" s="257">
        <f>Calc!I37</f>
        <v>11643756054053.477</v>
      </c>
      <c r="E30" s="257">
        <f>Calc!P37</f>
        <v>2.1137745742610444E-6</v>
      </c>
      <c r="F30" s="258">
        <f>Calc!S37</f>
        <v>473087.28491373407</v>
      </c>
      <c r="G30" s="257" t="e">
        <f>Calc!O37</f>
        <v>#DIV/0!</v>
      </c>
      <c r="H30" s="259" t="e">
        <f>Calc!X37</f>
        <v>#DIV/0!</v>
      </c>
      <c r="I30" s="260" t="e">
        <f>Calc!Y37</f>
        <v>#DIV/0!</v>
      </c>
      <c r="J30" s="229"/>
    </row>
    <row r="31" spans="1:10">
      <c r="A31" s="257">
        <f>Calc!A38</f>
        <v>7.5519000000000003E-3</v>
      </c>
      <c r="B31" s="257">
        <f>Calc!B38</f>
        <v>4.8991199999999999E-3</v>
      </c>
      <c r="C31" s="257">
        <f>Calc!C38</f>
        <v>1.7132100000000001E-2</v>
      </c>
      <c r="D31" s="257">
        <f>Calc!I38</f>
        <v>10364219292499.756</v>
      </c>
      <c r="E31" s="257">
        <f>Calc!P38</f>
        <v>2.1130409721524188E-6</v>
      </c>
      <c r="F31" s="258">
        <f>Calc!S38</f>
        <v>473251.53716280812</v>
      </c>
      <c r="G31" s="257" t="e">
        <f>Calc!O38</f>
        <v>#DIV/0!</v>
      </c>
      <c r="H31" s="259" t="e">
        <f>Calc!X38</f>
        <v>#DIV/0!</v>
      </c>
      <c r="I31" s="260" t="e">
        <f>Calc!Y38</f>
        <v>#DIV/0!</v>
      </c>
      <c r="J31" s="229"/>
    </row>
    <row r="32" spans="1:10">
      <c r="A32" s="257">
        <f>Calc!A39</f>
        <v>7.8079000000000004E-3</v>
      </c>
      <c r="B32" s="257">
        <f>Calc!B39</f>
        <v>4.3610599999999999E-3</v>
      </c>
      <c r="C32" s="257">
        <f>Calc!C39</f>
        <v>1.5244600000000001E-2</v>
      </c>
      <c r="D32" s="257">
        <f>Calc!I39</f>
        <v>9225637824571.2734</v>
      </c>
      <c r="E32" s="257">
        <f>Calc!P39</f>
        <v>2.113792210706505E-6</v>
      </c>
      <c r="F32" s="258">
        <f>Calc!S39</f>
        <v>473083.35009425745</v>
      </c>
      <c r="G32" s="257" t="e">
        <f>Calc!O39</f>
        <v>#DIV/0!</v>
      </c>
      <c r="H32" s="259" t="e">
        <f>Calc!X39</f>
        <v>#DIV/0!</v>
      </c>
      <c r="I32" s="260" t="e">
        <f>Calc!Y39</f>
        <v>#DIV/0!</v>
      </c>
      <c r="J32" s="229"/>
    </row>
    <row r="33" spans="1:10">
      <c r="A33" s="257">
        <f>Calc!A40</f>
        <v>8.0639000000000006E-3</v>
      </c>
      <c r="B33" s="257">
        <f>Calc!B40</f>
        <v>3.8777299999999998E-3</v>
      </c>
      <c r="C33" s="257">
        <f>Calc!C40</f>
        <v>1.35569E-2</v>
      </c>
      <c r="D33" s="257">
        <f>Calc!I40</f>
        <v>8202932479457.1338</v>
      </c>
      <c r="E33" s="257">
        <f>Calc!P40</f>
        <v>2.1134436340072621E-6</v>
      </c>
      <c r="F33" s="258">
        <f>Calc!S40</f>
        <v>473161.38241363392</v>
      </c>
      <c r="G33" s="257" t="e">
        <f>Calc!O40</f>
        <v>#DIV/0!</v>
      </c>
      <c r="H33" s="259" t="e">
        <f>Calc!X40</f>
        <v>#DIV/0!</v>
      </c>
      <c r="I33" s="260" t="e">
        <f>Calc!Y40</f>
        <v>#DIV/0!</v>
      </c>
      <c r="J33" s="229"/>
    </row>
    <row r="34" spans="1:10">
      <c r="A34" s="257">
        <f>Calc!A41</f>
        <v>8.3198999999999999E-3</v>
      </c>
      <c r="B34" s="257">
        <f>Calc!B41</f>
        <v>3.3505399999999999E-3</v>
      </c>
      <c r="C34" s="257">
        <f>Calc!C41</f>
        <v>1.20398E-2</v>
      </c>
      <c r="D34" s="257">
        <f>Calc!I41</f>
        <v>7087489213097.2432</v>
      </c>
      <c r="E34" s="257">
        <f>Calc!P41</f>
        <v>2.0561512762571967E-6</v>
      </c>
      <c r="F34" s="258">
        <f>Calc!S41</f>
        <v>486345.502489076</v>
      </c>
      <c r="G34" s="257" t="e">
        <f>Calc!O41</f>
        <v>#DIV/0!</v>
      </c>
      <c r="H34" s="259" t="e">
        <f>Calc!X41</f>
        <v>#DIV/0!</v>
      </c>
      <c r="I34" s="260" t="e">
        <f>Calc!Y41</f>
        <v>#DIV/0!</v>
      </c>
      <c r="J34" s="229"/>
    </row>
    <row r="35" spans="1:10">
      <c r="A35" s="257">
        <f>Calc!A42</f>
        <v>8.5758999999999991E-3</v>
      </c>
      <c r="B35" s="257">
        <f>Calc!B42</f>
        <v>3.1407399999999999E-3</v>
      </c>
      <c r="C35" s="257">
        <f>Calc!C42</f>
        <v>1.07171E-2</v>
      </c>
      <c r="D35" s="257">
        <f>Calc!I42</f>
        <v>6643608317815.708</v>
      </c>
      <c r="E35" s="257">
        <f>Calc!P42</f>
        <v>2.165253067183995E-6</v>
      </c>
      <c r="F35" s="258">
        <f>Calc!S42</f>
        <v>461839.74601692671</v>
      </c>
      <c r="G35" s="257" t="e">
        <f>Calc!O42</f>
        <v>#DIV/0!</v>
      </c>
      <c r="H35" s="259" t="e">
        <f>Calc!X42</f>
        <v>#DIV/0!</v>
      </c>
      <c r="I35" s="260" t="e">
        <f>Calc!Y42</f>
        <v>#DIV/0!</v>
      </c>
      <c r="J35" s="229"/>
    </row>
    <row r="36" spans="1:10">
      <c r="A36" s="257">
        <f>Calc!A43</f>
        <v>8.8319000000000002E-3</v>
      </c>
      <c r="B36" s="257">
        <f>Calc!B43</f>
        <v>2.9919600000000001E-3</v>
      </c>
      <c r="C36" s="257">
        <f>Calc!C43</f>
        <v>9.5097399999999992E-3</v>
      </c>
      <c r="D36" s="257">
        <f>Calc!I43</f>
        <v>6328836323582.5449</v>
      </c>
      <c r="E36" s="257">
        <f>Calc!P43</f>
        <v>2.3245406549723589E-6</v>
      </c>
      <c r="F36" s="258">
        <f>Calc!S43</f>
        <v>430192.48676529177</v>
      </c>
      <c r="G36" s="257" t="e">
        <f>Calc!O43</f>
        <v>#DIV/0!</v>
      </c>
      <c r="H36" s="259" t="e">
        <f>Calc!X43</f>
        <v>#DIV/0!</v>
      </c>
      <c r="I36" s="260" t="e">
        <f>Calc!Y43</f>
        <v>#DIV/0!</v>
      </c>
      <c r="J36" s="229"/>
    </row>
    <row r="37" spans="1:10">
      <c r="A37" s="257">
        <f>Calc!A44</f>
        <v>9.0878999999999995E-3</v>
      </c>
      <c r="B37" s="257">
        <f>Calc!B44</f>
        <v>2.4804100000000002E-3</v>
      </c>
      <c r="C37" s="257">
        <f>Calc!C44</f>
        <v>8.3878400000000006E-3</v>
      </c>
      <c r="D37" s="257">
        <f>Calc!I44</f>
        <v>5246599770401.8027</v>
      </c>
      <c r="E37" s="257">
        <f>Calc!P44</f>
        <v>2.1847901225868437E-6</v>
      </c>
      <c r="F37" s="258">
        <f>Calc!S44</f>
        <v>457709.84187283978</v>
      </c>
      <c r="G37" s="257" t="e">
        <f>Calc!O44</f>
        <v>#DIV/0!</v>
      </c>
      <c r="H37" s="259" t="e">
        <f>Calc!X44</f>
        <v>#DIV/0!</v>
      </c>
      <c r="I37" s="260" t="e">
        <f>Calc!Y44</f>
        <v>#DIV/0!</v>
      </c>
      <c r="J37" s="229"/>
    </row>
    <row r="38" spans="1:10">
      <c r="A38" s="257">
        <f>Calc!A45</f>
        <v>9.3439000000000005E-3</v>
      </c>
      <c r="B38" s="257">
        <f>Calc!B45</f>
        <v>2.1817199999999998E-3</v>
      </c>
      <c r="C38" s="257">
        <f>Calc!C45</f>
        <v>7.4370199999999999E-3</v>
      </c>
      <c r="D38" s="257">
        <f>Calc!I45</f>
        <v>4614721590341.6807</v>
      </c>
      <c r="E38" s="257">
        <f>Calc!P45</f>
        <v>2.1673471588309996E-6</v>
      </c>
      <c r="F38" s="258">
        <f>Calc!S45</f>
        <v>461393.52660489042</v>
      </c>
      <c r="G38" s="257" t="e">
        <f>Calc!O45</f>
        <v>#DIV/0!</v>
      </c>
      <c r="H38" s="259" t="e">
        <f>Calc!X45</f>
        <v>#DIV/0!</v>
      </c>
      <c r="I38" s="260" t="e">
        <f>Calc!Y45</f>
        <v>#DIV/0!</v>
      </c>
      <c r="J38" s="229"/>
    </row>
    <row r="39" spans="1:10">
      <c r="A39" s="257">
        <f>Calc!A46</f>
        <v>9.5998999999999998E-3</v>
      </c>
      <c r="B39" s="257">
        <f>Calc!B46</f>
        <v>2.1122900000000002E-3</v>
      </c>
      <c r="C39" s="257">
        <f>Calc!C46</f>
        <v>6.5701300000000004E-3</v>
      </c>
      <c r="D39" s="257">
        <f>Calc!I46</f>
        <v>4467845846537.9961</v>
      </c>
      <c r="E39" s="257">
        <f>Calc!P46</f>
        <v>2.3752325866647129E-6</v>
      </c>
      <c r="F39" s="258">
        <f>Calc!S46</f>
        <v>421011.37862944516</v>
      </c>
      <c r="G39" s="257" t="e">
        <f>Calc!O46</f>
        <v>#DIV/0!</v>
      </c>
      <c r="H39" s="259" t="e">
        <f>Calc!X46</f>
        <v>#DIV/0!</v>
      </c>
      <c r="I39" s="260" t="e">
        <f>Calc!Y46</f>
        <v>#DIV/0!</v>
      </c>
      <c r="J39" s="229"/>
    </row>
    <row r="40" spans="1:10">
      <c r="A40" s="257">
        <f>Calc!A47</f>
        <v>9.8559000000000008E-3</v>
      </c>
      <c r="B40" s="257">
        <f>Calc!B47</f>
        <v>1.4357599999999999E-3</v>
      </c>
      <c r="C40" s="257">
        <f>Calc!C47</f>
        <v>5.8401900000000003E-3</v>
      </c>
      <c r="D40" s="257">
        <f>Calc!I47</f>
        <v>3036745349694.7764</v>
      </c>
      <c r="E40" s="257">
        <f>Calc!P47</f>
        <v>1.8161985481510157E-6</v>
      </c>
      <c r="F40" s="258">
        <f>Calc!S47</f>
        <v>550600.57882365026</v>
      </c>
      <c r="G40" s="257" t="e">
        <f>Calc!O47</f>
        <v>#DIV/0!</v>
      </c>
      <c r="H40" s="259" t="e">
        <f>Calc!X47</f>
        <v>#DIV/0!</v>
      </c>
      <c r="I40" s="260" t="e">
        <f>Calc!Y47</f>
        <v>#DIV/0!</v>
      </c>
      <c r="J40" s="229"/>
    </row>
    <row r="41" spans="1:10">
      <c r="A41" s="257">
        <f>Calc!A48</f>
        <v>1.01119E-2</v>
      </c>
      <c r="B41" s="257">
        <f>Calc!B48</f>
        <v>1.40219E-3</v>
      </c>
      <c r="C41" s="257">
        <f>Calc!C48</f>
        <v>5.1270300000000003E-3</v>
      </c>
      <c r="D41" s="257">
        <f>Calc!I48</f>
        <v>2965736008420.4404</v>
      </c>
      <c r="E41" s="257">
        <f>Calc!P48</f>
        <v>2.0204520911180475E-6</v>
      </c>
      <c r="F41" s="258">
        <f>Calc!S48</f>
        <v>494938.71883156954</v>
      </c>
      <c r="G41" s="257" t="e">
        <f>Calc!O48</f>
        <v>#DIV/0!</v>
      </c>
      <c r="H41" s="259" t="e">
        <f>Calc!X48</f>
        <v>#DIV/0!</v>
      </c>
      <c r="I41" s="260" t="e">
        <f>Calc!Y48</f>
        <v>#DIV/0!</v>
      </c>
      <c r="J41" s="229"/>
    </row>
    <row r="42" spans="1:10">
      <c r="A42" s="257">
        <f>Calc!A49</f>
        <v>1.0367899999999999E-2</v>
      </c>
      <c r="B42" s="257">
        <f>Calc!B49</f>
        <v>1.35126E-3</v>
      </c>
      <c r="C42" s="257">
        <f>Calc!C49</f>
        <v>4.5244999999999999E-3</v>
      </c>
      <c r="D42" s="257">
        <f>Calc!I49</f>
        <v>2858006280961.1167</v>
      </c>
      <c r="E42" s="257">
        <f>Calc!P49</f>
        <v>2.2063505319734992E-6</v>
      </c>
      <c r="F42" s="258">
        <f>Calc!S49</f>
        <v>453237.12317998323</v>
      </c>
      <c r="G42" s="257" t="e">
        <f>Calc!O49</f>
        <v>#DIV/0!</v>
      </c>
      <c r="H42" s="259" t="e">
        <f>Calc!X49</f>
        <v>#DIV/0!</v>
      </c>
      <c r="I42" s="260" t="e">
        <f>Calc!Y49</f>
        <v>#DIV/0!</v>
      </c>
      <c r="J42" s="229"/>
    </row>
    <row r="43" spans="1:10">
      <c r="A43" s="257">
        <f>Calc!A50</f>
        <v>1.06239E-2</v>
      </c>
      <c r="B43" s="257">
        <f>Calc!B50</f>
        <v>1.2705800000000001E-3</v>
      </c>
      <c r="C43" s="257">
        <f>Calc!C50</f>
        <v>3.9765199999999999E-3</v>
      </c>
      <c r="D43" s="257">
        <f>Calc!I50</f>
        <v>2687349222184.8081</v>
      </c>
      <c r="E43" s="257">
        <f>Calc!P50</f>
        <v>2.3604937841975497E-6</v>
      </c>
      <c r="F43" s="258">
        <f>Calc!S50</f>
        <v>423640.16136765538</v>
      </c>
      <c r="G43" s="257" t="e">
        <f>Calc!O50</f>
        <v>#DIV/0!</v>
      </c>
      <c r="H43" s="259" t="e">
        <f>Calc!X50</f>
        <v>#DIV/0!</v>
      </c>
      <c r="I43" s="260" t="e">
        <f>Calc!Y50</f>
        <v>#DIV/0!</v>
      </c>
      <c r="J43" s="229"/>
    </row>
    <row r="44" spans="1:10">
      <c r="A44" s="257">
        <f>Calc!A51</f>
        <v>1.08799E-2</v>
      </c>
      <c r="B44" s="257">
        <f>Calc!B51</f>
        <v>1.1132200000000001E-3</v>
      </c>
      <c r="C44" s="257">
        <f>Calc!C51</f>
        <v>3.46898E-3</v>
      </c>
      <c r="D44" s="257">
        <f>Calc!I51</f>
        <v>2354500920614.0264</v>
      </c>
      <c r="E44" s="257">
        <f>Calc!P51</f>
        <v>2.3707130699036096E-6</v>
      </c>
      <c r="F44" s="258">
        <f>Calc!S51</f>
        <v>421814.00365224195</v>
      </c>
      <c r="G44" s="257" t="e">
        <f>Calc!O51</f>
        <v>#DIV/0!</v>
      </c>
      <c r="H44" s="259" t="e">
        <f>Calc!X51</f>
        <v>#DIV/0!</v>
      </c>
      <c r="I44" s="260" t="e">
        <f>Calc!Y51</f>
        <v>#DIV/0!</v>
      </c>
      <c r="J44" s="229"/>
    </row>
    <row r="45" spans="1:10">
      <c r="A45" s="257">
        <f>Calc!A52</f>
        <v>1.1135900000000001E-2</v>
      </c>
      <c r="B45" s="257">
        <f>Calc!B52</f>
        <v>8.9616700000000001E-4</v>
      </c>
      <c r="C45" s="257">
        <f>Calc!C52</f>
        <v>3.0489800000000002E-3</v>
      </c>
      <c r="D45" s="257">
        <f>Calc!I52</f>
        <v>1895400426455.5352</v>
      </c>
      <c r="E45" s="257">
        <f>Calc!P52</f>
        <v>2.171342454242954E-6</v>
      </c>
      <c r="F45" s="258">
        <f>Calc!S52</f>
        <v>460544.57096246316</v>
      </c>
      <c r="G45" s="257" t="e">
        <f>Calc!O52</f>
        <v>#DIV/0!</v>
      </c>
      <c r="H45" s="259" t="e">
        <f>Calc!X52</f>
        <v>#DIV/0!</v>
      </c>
      <c r="I45" s="260" t="e">
        <f>Calc!Y52</f>
        <v>#DIV/0!</v>
      </c>
      <c r="J45" s="229"/>
    </row>
    <row r="46" spans="1:10">
      <c r="A46" s="257">
        <f>Calc!A53</f>
        <v>1.13919E-2</v>
      </c>
      <c r="B46" s="257">
        <f>Calc!B53</f>
        <v>7.9049999999999997E-4</v>
      </c>
      <c r="C46" s="257">
        <f>Calc!C53</f>
        <v>2.6682699999999999E-3</v>
      </c>
      <c r="D46" s="257">
        <f>Calc!I53</f>
        <v>1671902917853.1631</v>
      </c>
      <c r="E46" s="257">
        <f>Calc!P53</f>
        <v>2.1885839386773833E-6</v>
      </c>
      <c r="F46" s="258">
        <f>Calc!S53</f>
        <v>456916.43973793142</v>
      </c>
      <c r="G46" s="257" t="e">
        <f>Calc!O53</f>
        <v>#DIV/0!</v>
      </c>
      <c r="H46" s="259" t="e">
        <f>Calc!X53</f>
        <v>#DIV/0!</v>
      </c>
      <c r="I46" s="260" t="e">
        <f>Calc!Y53</f>
        <v>#DIV/0!</v>
      </c>
      <c r="J46" s="229"/>
    </row>
    <row r="47" spans="1:10">
      <c r="A47" s="257">
        <f>Calc!A54</f>
        <v>1.1647899999999999E-2</v>
      </c>
      <c r="B47" s="257">
        <f>Calc!B54</f>
        <v>7.1020100000000004E-4</v>
      </c>
      <c r="C47" s="257">
        <f>Calc!C54</f>
        <v>2.32438E-3</v>
      </c>
      <c r="D47" s="257">
        <f>Calc!I54</f>
        <v>1502063516666.428</v>
      </c>
      <c r="E47" s="257">
        <f>Calc!P54</f>
        <v>2.2571638868328327E-6</v>
      </c>
      <c r="F47" s="258">
        <f>Calc!S54</f>
        <v>443033.83929289004</v>
      </c>
      <c r="G47" s="257" t="e">
        <f>Calc!O54</f>
        <v>#DIV/0!</v>
      </c>
      <c r="H47" s="259" t="e">
        <f>Calc!X54</f>
        <v>#DIV/0!</v>
      </c>
      <c r="I47" s="260" t="e">
        <f>Calc!Y54</f>
        <v>#DIV/0!</v>
      </c>
      <c r="J47" s="229"/>
    </row>
    <row r="48" spans="1:10">
      <c r="A48" s="257">
        <f>Calc!A55</f>
        <v>1.19039E-2</v>
      </c>
      <c r="B48" s="257">
        <f>Calc!B55</f>
        <v>5.2938400000000004E-4</v>
      </c>
      <c r="C48" s="257">
        <f>Calc!C55</f>
        <v>2.0201500000000001E-3</v>
      </c>
      <c r="D48" s="257">
        <f>Calc!I55</f>
        <v>1119625946588.6301</v>
      </c>
      <c r="E48" s="257">
        <f>Calc!P55</f>
        <v>1.9358480348360128E-6</v>
      </c>
      <c r="F48" s="258">
        <f>Calc!S55</f>
        <v>516569.46771561657</v>
      </c>
      <c r="G48" s="257" t="e">
        <f>Calc!O55</f>
        <v>#DIV/0!</v>
      </c>
      <c r="H48" s="259" t="e">
        <f>Calc!X55</f>
        <v>#DIV/0!</v>
      </c>
      <c r="I48" s="260" t="e">
        <f>Calc!Y55</f>
        <v>#DIV/0!</v>
      </c>
      <c r="J48" s="229"/>
    </row>
    <row r="49" spans="1:10">
      <c r="A49" s="257">
        <f>Calc!A56</f>
        <v>1.21599E-2</v>
      </c>
      <c r="B49" s="257">
        <f>Calc!B56</f>
        <v>6.8082799999999997E-4</v>
      </c>
      <c r="C49" s="257">
        <f>Calc!C56</f>
        <v>1.78498E-3</v>
      </c>
      <c r="D49" s="257">
        <f>Calc!I56</f>
        <v>1439937476908.6677</v>
      </c>
      <c r="E49" s="257">
        <f>Calc!P56</f>
        <v>2.817683482704632E-6</v>
      </c>
      <c r="F49" s="258">
        <f>Calc!S56</f>
        <v>354901.45909938781</v>
      </c>
      <c r="G49" s="257" t="e">
        <f>Calc!O56</f>
        <v>#DIV/0!</v>
      </c>
      <c r="H49" s="259" t="e">
        <f>Calc!X56</f>
        <v>#DIV/0!</v>
      </c>
      <c r="I49" s="260" t="e">
        <f>Calc!Y56</f>
        <v>#DIV/0!</v>
      </c>
      <c r="J49" s="229"/>
    </row>
    <row r="50" spans="1:10">
      <c r="A50" s="257">
        <f>Calc!A57</f>
        <v>1.2415900000000001E-2</v>
      </c>
      <c r="B50" s="257">
        <f>Calc!B57</f>
        <v>4.7845800000000002E-4</v>
      </c>
      <c r="C50" s="257">
        <f>Calc!C57</f>
        <v>1.5385500000000001E-3</v>
      </c>
      <c r="D50" s="257">
        <f>Calc!I57</f>
        <v>1011916295793.688</v>
      </c>
      <c r="E50" s="257">
        <f>Calc!P57</f>
        <v>2.2972851255153405E-6</v>
      </c>
      <c r="F50" s="258">
        <f>Calc!S57</f>
        <v>435296.41881281725</v>
      </c>
      <c r="G50" s="257" t="e">
        <f>Calc!O57</f>
        <v>#DIV/0!</v>
      </c>
      <c r="H50" s="259" t="e">
        <f>Calc!X57</f>
        <v>#DIV/0!</v>
      </c>
      <c r="I50" s="260" t="e">
        <f>Calc!Y57</f>
        <v>#DIV/0!</v>
      </c>
      <c r="J50" s="229"/>
    </row>
    <row r="51" spans="1:10">
      <c r="A51" s="257">
        <f>Calc!A58</f>
        <v>1.26719E-2</v>
      </c>
      <c r="B51" s="257">
        <f>Calc!B58</f>
        <v>5.8088200000000001E-4</v>
      </c>
      <c r="C51" s="257">
        <f>Calc!C58</f>
        <v>8.7326500000000002E-4</v>
      </c>
      <c r="D51" s="257">
        <f>Calc!I58</f>
        <v>1228546082212.2422</v>
      </c>
      <c r="E51" s="257">
        <f>Calc!P58</f>
        <v>4.9139114090160469E-6</v>
      </c>
      <c r="F51" s="258">
        <f>Calc!S58</f>
        <v>203503.86605386264</v>
      </c>
      <c r="G51" s="257" t="e">
        <f>Calc!O58</f>
        <v>#DIV/0!</v>
      </c>
      <c r="H51" s="259" t="e">
        <f>Calc!X58</f>
        <v>#DIV/0!</v>
      </c>
      <c r="I51" s="260" t="e">
        <f>Calc!Y58</f>
        <v>#DIV/0!</v>
      </c>
      <c r="J51" s="229"/>
    </row>
    <row r="52" spans="1:10">
      <c r="A52" s="257">
        <f>Calc!A59</f>
        <v>1.2927900000000001E-2</v>
      </c>
      <c r="B52" s="257">
        <f>Calc!B59</f>
        <v>-9.7370700000000006E-5</v>
      </c>
      <c r="C52" s="257">
        <f>Calc!C59</f>
        <v>8.6101799999999996E-5</v>
      </c>
      <c r="D52" s="257">
        <f>Calc!I59</f>
        <v>100000</v>
      </c>
      <c r="E52" s="257">
        <f>Calc!P59</f>
        <v>4.056670133927369E-12</v>
      </c>
      <c r="F52" s="258">
        <f>Calc!S59</f>
        <v>246507595388.80075</v>
      </c>
      <c r="G52" s="257" t="e">
        <f>Calc!O59</f>
        <v>#DIV/0!</v>
      </c>
      <c r="H52" s="259" t="e">
        <f>Calc!X59</f>
        <v>#DIV/0!</v>
      </c>
      <c r="I52" s="260" t="e">
        <f>Calc!Y59</f>
        <v>#DIV/0!</v>
      </c>
      <c r="J52" s="229"/>
    </row>
    <row r="53" spans="1:10">
      <c r="A53" s="257">
        <f>Calc!A60</f>
        <v>1.31839E-2</v>
      </c>
      <c r="B53" s="257">
        <f>Calc!B60</f>
        <v>-2.7093899999999999E-4</v>
      </c>
      <c r="C53" s="257">
        <f>Calc!C60</f>
        <v>1.24781E-5</v>
      </c>
      <c r="D53" s="257">
        <f>Calc!I60</f>
        <v>100000</v>
      </c>
      <c r="E53" s="257">
        <f>Calc!P60</f>
        <v>2.7991969974386124E-11</v>
      </c>
      <c r="F53" s="258">
        <f>Calc!S60</f>
        <v>35724531032.11541</v>
      </c>
      <c r="G53" s="257" t="e">
        <f>Calc!O60</f>
        <v>#DIV/0!</v>
      </c>
      <c r="H53" s="259" t="e">
        <f>Calc!X60</f>
        <v>#DIV/0!</v>
      </c>
      <c r="I53" s="260" t="e">
        <f>Calc!Y60</f>
        <v>#DIV/0!</v>
      </c>
      <c r="J53" s="229"/>
    </row>
    <row r="54" spans="1:10">
      <c r="A54" s="257">
        <f>Calc!A61</f>
        <v>1.3439899999999999E-2</v>
      </c>
      <c r="B54" s="257">
        <f>Calc!B61</f>
        <v>-4.5022999999999998E-4</v>
      </c>
      <c r="C54" s="257">
        <f>Calc!C61</f>
        <v>3.5135599999999999E-6</v>
      </c>
      <c r="D54" s="257">
        <f>Calc!I61</f>
        <v>100000</v>
      </c>
      <c r="E54" s="257">
        <f>Calc!P61</f>
        <v>9.9411024868619704E-11</v>
      </c>
      <c r="F54" s="258">
        <f>Calc!S61</f>
        <v>10059246460.05397</v>
      </c>
      <c r="G54" s="257" t="e">
        <f>Calc!O61</f>
        <v>#DIV/0!</v>
      </c>
      <c r="H54" s="259" t="e">
        <f>Calc!X61</f>
        <v>#DIV/0!</v>
      </c>
      <c r="I54" s="260" t="e">
        <f>Calc!Y61</f>
        <v>#DIV/0!</v>
      </c>
      <c r="J54" s="229"/>
    </row>
    <row r="55" spans="1:10">
      <c r="A55" s="257">
        <f>Calc!A62</f>
        <v>1.36959E-2</v>
      </c>
      <c r="B55" s="257">
        <f>Calc!B62</f>
        <v>-3.0088499999999998E-4</v>
      </c>
      <c r="C55" s="257">
        <f>Calc!C62</f>
        <v>-4.8787700000000002E-6</v>
      </c>
      <c r="D55" s="257">
        <f>Calc!I62</f>
        <v>100000</v>
      </c>
      <c r="E55" s="257">
        <f>Calc!P62</f>
        <v>3.2100225563909774E-9</v>
      </c>
      <c r="F55" s="258">
        <f>Calc!S62</f>
        <v>311524290.69666672</v>
      </c>
      <c r="G55" s="257" t="e">
        <f>Calc!O62</f>
        <v>#DIV/0!</v>
      </c>
      <c r="H55" s="259" t="e">
        <f>Calc!X62</f>
        <v>#DIV/0!</v>
      </c>
      <c r="I55" s="260" t="e">
        <f>Calc!Y62</f>
        <v>#DIV/0!</v>
      </c>
      <c r="J55" s="229"/>
    </row>
    <row r="56" spans="1:10">
      <c r="A56" s="257">
        <f>Calc!A63</f>
        <v>1.39519E-2</v>
      </c>
      <c r="B56" s="257">
        <f>Calc!B63</f>
        <v>-5.5227300000000004E-4</v>
      </c>
      <c r="C56" s="257">
        <f>Calc!C63</f>
        <v>1.7246500000000002E-5</v>
      </c>
      <c r="D56" s="257">
        <f>Calc!I63</f>
        <v>100000</v>
      </c>
      <c r="E56" s="257">
        <f>Calc!P63</f>
        <v>2.0252607806649893E-11</v>
      </c>
      <c r="F56" s="258">
        <f>Calc!S63</f>
        <v>49376357333.678902</v>
      </c>
      <c r="G56" s="257" t="e">
        <f>Calc!O63</f>
        <v>#DIV/0!</v>
      </c>
      <c r="H56" s="259" t="e">
        <f>Calc!X63</f>
        <v>#DIV/0!</v>
      </c>
      <c r="I56" s="260" t="e">
        <f>Calc!Y63</f>
        <v>#DIV/0!</v>
      </c>
      <c r="J56" s="229"/>
    </row>
    <row r="57" spans="1:10">
      <c r="A57" s="257">
        <f>Calc!A64</f>
        <v>1.4207900000000001E-2</v>
      </c>
      <c r="B57" s="257">
        <f>Calc!B64</f>
        <v>-5.5551600000000004E-4</v>
      </c>
      <c r="C57" s="257">
        <f>Calc!C64</f>
        <v>5.99312E-6</v>
      </c>
      <c r="D57" s="257">
        <f>Calc!I64</f>
        <v>100000</v>
      </c>
      <c r="E57" s="257">
        <f>Calc!P64</f>
        <v>5.828126260401718E-11</v>
      </c>
      <c r="F57" s="258">
        <f>Calc!S64</f>
        <v>17158173233.03961</v>
      </c>
      <c r="G57" s="257" t="e">
        <f>Calc!O64</f>
        <v>#DIV/0!</v>
      </c>
      <c r="H57" s="259" t="e">
        <f>Calc!X64</f>
        <v>#DIV/0!</v>
      </c>
      <c r="I57" s="260" t="e">
        <f>Calc!Y64</f>
        <v>#DIV/0!</v>
      </c>
      <c r="J57" s="229"/>
    </row>
    <row r="58" spans="1:10">
      <c r="A58" s="257">
        <f>Calc!A65</f>
        <v>1.44639E-2</v>
      </c>
      <c r="B58" s="257">
        <f>Calc!B65</f>
        <v>-3.1633399999999998E-4</v>
      </c>
      <c r="C58" s="257">
        <f>Calc!C65</f>
        <v>1.22874E-5</v>
      </c>
      <c r="D58" s="257">
        <f>Calc!I65</f>
        <v>100000</v>
      </c>
      <c r="E58" s="257">
        <f>Calc!P65</f>
        <v>2.8426404327798187E-11</v>
      </c>
      <c r="F58" s="258">
        <f>Calc!S65</f>
        <v>35178561047.276024</v>
      </c>
      <c r="G58" s="257" t="e">
        <f>Calc!O65</f>
        <v>#DIV/0!</v>
      </c>
      <c r="H58" s="259" t="e">
        <f>Calc!X65</f>
        <v>#DIV/0!</v>
      </c>
      <c r="I58" s="260" t="e">
        <f>Calc!Y65</f>
        <v>#DIV/0!</v>
      </c>
      <c r="J58" s="229"/>
    </row>
    <row r="59" spans="1:10">
      <c r="A59" s="257">
        <f>Calc!A66</f>
        <v>1.4719899999999999E-2</v>
      </c>
      <c r="B59" s="257">
        <f>Calc!B66</f>
        <v>-5.1679700000000005E-4</v>
      </c>
      <c r="C59" s="257">
        <f>Calc!C66</f>
        <v>4.5666E-5</v>
      </c>
      <c r="D59" s="257">
        <f>Calc!I66</f>
        <v>100000</v>
      </c>
      <c r="E59" s="257">
        <f>Calc!P66</f>
        <v>7.648723350794627E-12</v>
      </c>
      <c r="F59" s="258">
        <f>Calc!S66</f>
        <v>130740772562.53618</v>
      </c>
      <c r="G59" s="257" t="e">
        <f>Calc!O66</f>
        <v>#DIV/0!</v>
      </c>
      <c r="H59" s="259" t="e">
        <f>Calc!X66</f>
        <v>#DIV/0!</v>
      </c>
      <c r="I59" s="260" t="e">
        <f>Calc!Y66</f>
        <v>#DIV/0!</v>
      </c>
      <c r="J59" s="229"/>
    </row>
    <row r="60" spans="1:10">
      <c r="A60" s="257">
        <f>Calc!A67</f>
        <v>1.49759E-2</v>
      </c>
      <c r="B60" s="257">
        <f>Calc!B67</f>
        <v>-3.5162000000000002E-4</v>
      </c>
      <c r="C60" s="257">
        <f>Calc!C67</f>
        <v>-5.2602400000000003E-6</v>
      </c>
      <c r="D60" s="257">
        <f>Calc!I67</f>
        <v>100000</v>
      </c>
      <c r="E60" s="257">
        <f>Calc!P67</f>
        <v>3.2100225563909774E-9</v>
      </c>
      <c r="F60" s="258">
        <f>Calc!S67</f>
        <v>311524290.69666672</v>
      </c>
      <c r="G60" s="257" t="e">
        <f>Calc!O67</f>
        <v>#DIV/0!</v>
      </c>
      <c r="H60" s="259" t="e">
        <f>Calc!X67</f>
        <v>#DIV/0!</v>
      </c>
      <c r="I60" s="260" t="e">
        <f>Calc!Y67</f>
        <v>#DIV/0!</v>
      </c>
      <c r="J60" s="229"/>
    </row>
    <row r="61" spans="1:10">
      <c r="A61" s="257">
        <f>Calc!A68</f>
        <v>1.52319E-2</v>
      </c>
      <c r="B61" s="257">
        <f>Calc!B68</f>
        <v>-3.4914100000000002E-4</v>
      </c>
      <c r="C61" s="257">
        <f>Calc!C68</f>
        <v>2.7164700000000001E-5</v>
      </c>
      <c r="D61" s="257">
        <f>Calc!I68</f>
        <v>100000</v>
      </c>
      <c r="E61" s="257">
        <f>Calc!P68</f>
        <v>1.2858106312139924E-11</v>
      </c>
      <c r="F61" s="258">
        <f>Calc!S68</f>
        <v>77771949906.484634</v>
      </c>
      <c r="G61" s="257" t="e">
        <f>Calc!O68</f>
        <v>#DIV/0!</v>
      </c>
      <c r="H61" s="259" t="e">
        <f>Calc!X68</f>
        <v>#DIV/0!</v>
      </c>
      <c r="I61" s="260" t="e">
        <f>Calc!Y68</f>
        <v>#DIV/0!</v>
      </c>
      <c r="J61" s="229"/>
    </row>
    <row r="62" spans="1:10">
      <c r="A62" s="257">
        <f>Calc!A69</f>
        <v>1.5487900000000001E-2</v>
      </c>
      <c r="B62" s="257">
        <f>Calc!B69</f>
        <v>-3.7355500000000002E-4</v>
      </c>
      <c r="C62" s="257">
        <f>Calc!C69</f>
        <v>1.4576199999999999E-5</v>
      </c>
      <c r="D62" s="257">
        <f>Calc!I69</f>
        <v>100000</v>
      </c>
      <c r="E62" s="257">
        <f>Calc!P69</f>
        <v>2.3962802413344184E-11</v>
      </c>
      <c r="F62" s="258">
        <f>Calc!S69</f>
        <v>41731346056.717026</v>
      </c>
      <c r="G62" s="257" t="e">
        <f>Calc!O69</f>
        <v>#DIV/0!</v>
      </c>
      <c r="H62" s="259" t="e">
        <f>Calc!X69</f>
        <v>#DIV/0!</v>
      </c>
      <c r="I62" s="260" t="e">
        <f>Calc!Y69</f>
        <v>#DIV/0!</v>
      </c>
      <c r="J62" s="229"/>
    </row>
    <row r="63" spans="1:10">
      <c r="A63" s="257">
        <f>Calc!A70</f>
        <v>1.5743900000000002E-2</v>
      </c>
      <c r="B63" s="257">
        <f>Calc!B70</f>
        <v>-4.4336400000000002E-4</v>
      </c>
      <c r="C63" s="257">
        <f>Calc!C70</f>
        <v>8.2819299999999998E-6</v>
      </c>
      <c r="D63" s="257">
        <f>Calc!I70</f>
        <v>100000</v>
      </c>
      <c r="E63" s="257">
        <f>Calc!P70</f>
        <v>4.217454150631404E-11</v>
      </c>
      <c r="F63" s="258">
        <f>Calc!S70</f>
        <v>23710986872.26482</v>
      </c>
      <c r="G63" s="257" t="e">
        <f>Calc!O70</f>
        <v>#DIV/0!</v>
      </c>
      <c r="H63" s="259" t="e">
        <f>Calc!X70</f>
        <v>#DIV/0!</v>
      </c>
      <c r="I63" s="260" t="e">
        <f>Calc!Y70</f>
        <v>#DIV/0!</v>
      </c>
      <c r="J63" s="229"/>
    </row>
    <row r="64" spans="1:10">
      <c r="A64" s="257">
        <f>Calc!A71</f>
        <v>1.5999900000000001E-2</v>
      </c>
      <c r="B64" s="257">
        <f>Calc!B71</f>
        <v>-3.0279200000000002E-4</v>
      </c>
      <c r="C64" s="257">
        <f>Calc!C71</f>
        <v>2.6401700000000002E-5</v>
      </c>
      <c r="D64" s="257">
        <f>Calc!I71</f>
        <v>100000</v>
      </c>
      <c r="E64" s="257">
        <f>Calc!P71</f>
        <v>1.322970113808533E-11</v>
      </c>
      <c r="F64" s="258">
        <f>Calc!S71</f>
        <v>75587497371.442902</v>
      </c>
      <c r="G64" s="257" t="e">
        <f>Calc!O71</f>
        <v>#DIV/0!</v>
      </c>
      <c r="H64" s="259" t="e">
        <f>Calc!X71</f>
        <v>#DIV/0!</v>
      </c>
      <c r="I64" s="260" t="e">
        <f>Calc!Y71</f>
        <v>#DIV/0!</v>
      </c>
      <c r="J64" s="229"/>
    </row>
    <row r="65" spans="1:10">
      <c r="A65" s="257">
        <f>Calc!A72</f>
        <v>1.62559E-2</v>
      </c>
      <c r="B65" s="257">
        <f>Calc!B72</f>
        <v>-5.6409899999999998E-4</v>
      </c>
      <c r="C65" s="257">
        <f>Calc!C72</f>
        <v>-7.9305300000000001E-6</v>
      </c>
      <c r="D65" s="257">
        <f>Calc!I72</f>
        <v>100000</v>
      </c>
      <c r="E65" s="257">
        <f>Calc!P72</f>
        <v>3.2100225563909774E-9</v>
      </c>
      <c r="F65" s="258">
        <f>Calc!S72</f>
        <v>311524290.69666672</v>
      </c>
      <c r="G65" s="257" t="e">
        <f>Calc!O72</f>
        <v>#DIV/0!</v>
      </c>
      <c r="H65" s="259" t="e">
        <f>Calc!X72</f>
        <v>#DIV/0!</v>
      </c>
      <c r="I65" s="260" t="e">
        <f>Calc!Y72</f>
        <v>#DIV/0!</v>
      </c>
      <c r="J65" s="229"/>
    </row>
    <row r="66" spans="1:10">
      <c r="A66" s="257">
        <f>Calc!A73</f>
        <v>1.6511899999999999E-2</v>
      </c>
      <c r="B66" s="257">
        <f>Calc!B73</f>
        <v>-5.5093799999999995E-4</v>
      </c>
      <c r="C66" s="257">
        <f>Calc!C73</f>
        <v>1.3431800000000001E-5</v>
      </c>
      <c r="D66" s="257">
        <f>Calc!I73</f>
        <v>100000</v>
      </c>
      <c r="E66" s="257">
        <f>Calc!P73</f>
        <v>2.6004452161094376E-11</v>
      </c>
      <c r="F66" s="258">
        <f>Calc!S73</f>
        <v>38454953551.996529</v>
      </c>
      <c r="G66" s="257" t="e">
        <f>Calc!O73</f>
        <v>#DIV/0!</v>
      </c>
      <c r="H66" s="259" t="e">
        <f>Calc!X73</f>
        <v>#DIV/0!</v>
      </c>
      <c r="I66" s="260" t="e">
        <f>Calc!Y73</f>
        <v>#DIV/0!</v>
      </c>
      <c r="J66" s="229"/>
    </row>
    <row r="67" spans="1:10">
      <c r="A67" s="257">
        <f>Calc!A74</f>
        <v>1.6767899999999999E-2</v>
      </c>
      <c r="B67" s="257">
        <f>Calc!B74</f>
        <v>-2.19822E-4</v>
      </c>
      <c r="C67" s="257">
        <f>Calc!C74</f>
        <v>4.6579699999999997E-6</v>
      </c>
      <c r="D67" s="257">
        <f>Calc!I74</f>
        <v>100000</v>
      </c>
      <c r="E67" s="257">
        <f>Calc!P74</f>
        <v>7.4986872078907209E-11</v>
      </c>
      <c r="F67" s="258">
        <f>Calc!S74</f>
        <v>13335667594.558681</v>
      </c>
      <c r="G67" s="257" t="e">
        <f>Calc!O74</f>
        <v>#DIV/0!</v>
      </c>
      <c r="H67" s="259" t="e">
        <f>Calc!X74</f>
        <v>#DIV/0!</v>
      </c>
      <c r="I67" s="260" t="e">
        <f>Calc!Y74</f>
        <v>#DIV/0!</v>
      </c>
      <c r="J67" s="229"/>
    </row>
    <row r="68" spans="1:10">
      <c r="A68" s="257">
        <f>Calc!A75</f>
        <v>1.7023900000000002E-2</v>
      </c>
      <c r="B68" s="257">
        <f>Calc!B75</f>
        <v>-4.32683E-4</v>
      </c>
      <c r="C68" s="257">
        <f>Calc!C75</f>
        <v>1.43854E-5</v>
      </c>
      <c r="D68" s="257">
        <f>Calc!I75</f>
        <v>100000</v>
      </c>
      <c r="E68" s="257">
        <f>Calc!P75</f>
        <v>2.428063178899353E-11</v>
      </c>
      <c r="F68" s="258">
        <f>Calc!S75</f>
        <v>41185089774.035553</v>
      </c>
      <c r="G68" s="257" t="e">
        <f>Calc!O75</f>
        <v>#DIV/0!</v>
      </c>
      <c r="H68" s="259" t="e">
        <f>Calc!X75</f>
        <v>#DIV/0!</v>
      </c>
      <c r="I68" s="260" t="e">
        <f>Calc!Y75</f>
        <v>#DIV/0!</v>
      </c>
      <c r="J68" s="229"/>
    </row>
    <row r="69" spans="1:10">
      <c r="A69" s="257">
        <f>Calc!A76</f>
        <v>1.7279900000000001E-2</v>
      </c>
      <c r="B69" s="257">
        <f>Calc!B76</f>
        <v>-3.24154E-4</v>
      </c>
      <c r="C69" s="257">
        <f>Calc!C76</f>
        <v>3.40311E-5</v>
      </c>
      <c r="D69" s="257">
        <f>Calc!I76</f>
        <v>100000</v>
      </c>
      <c r="E69" s="257">
        <f>Calc!P76</f>
        <v>1.0263747000167126E-11</v>
      </c>
      <c r="F69" s="258">
        <f>Calc!S76</f>
        <v>97430304934.807617</v>
      </c>
      <c r="G69" s="257" t="e">
        <f>Calc!O76</f>
        <v>#DIV/0!</v>
      </c>
      <c r="H69" s="259" t="e">
        <f>Calc!X76</f>
        <v>#DIV/0!</v>
      </c>
      <c r="I69" s="260" t="e">
        <f>Calc!Y76</f>
        <v>#DIV/0!</v>
      </c>
      <c r="J69" s="229"/>
    </row>
    <row r="70" spans="1:10">
      <c r="A70" s="257">
        <f>Calc!A77</f>
        <v>1.75359E-2</v>
      </c>
      <c r="B70" s="257">
        <f>Calc!B77</f>
        <v>-2.5167499999999998E-4</v>
      </c>
      <c r="C70" s="257">
        <f>Calc!C77</f>
        <v>3.1320900000000002E-6</v>
      </c>
      <c r="D70" s="257">
        <f>Calc!I77</f>
        <v>100000</v>
      </c>
      <c r="E70" s="257">
        <f>Calc!P77</f>
        <v>1.1151869854869669E-10</v>
      </c>
      <c r="F70" s="258">
        <f>Calc!S77</f>
        <v>8967106081.8857346</v>
      </c>
      <c r="G70" s="257" t="e">
        <f>Calc!O77</f>
        <v>#DIV/0!</v>
      </c>
      <c r="H70" s="259" t="e">
        <f>Calc!X77</f>
        <v>#DIV/0!</v>
      </c>
      <c r="I70" s="260" t="e">
        <f>Calc!Y77</f>
        <v>#DIV/0!</v>
      </c>
      <c r="J70" s="229"/>
    </row>
    <row r="71" spans="1:10">
      <c r="A71" s="257">
        <f>Calc!A78</f>
        <v>1.7791899999999999E-2</v>
      </c>
      <c r="B71" s="257">
        <f>Calc!B78</f>
        <v>-4.5118399999999998E-4</v>
      </c>
      <c r="C71" s="257">
        <f>Calc!C78</f>
        <v>-2.43337E-5</v>
      </c>
      <c r="D71" s="257">
        <f>Calc!I78</f>
        <v>100000</v>
      </c>
      <c r="E71" s="257">
        <f>Calc!P78</f>
        <v>3.2100225563909774E-9</v>
      </c>
      <c r="F71" s="258">
        <f>Calc!S78</f>
        <v>311524290.69666672</v>
      </c>
      <c r="G71" s="257" t="e">
        <f>Calc!O78</f>
        <v>#DIV/0!</v>
      </c>
      <c r="H71" s="259" t="e">
        <f>Calc!X78</f>
        <v>#DIV/0!</v>
      </c>
      <c r="I71" s="260" t="e">
        <f>Calc!Y78</f>
        <v>#DIV/0!</v>
      </c>
      <c r="J71" s="229"/>
    </row>
    <row r="72" spans="1:10">
      <c r="A72" s="257">
        <f>Calc!A79</f>
        <v>1.8047899999999999E-2</v>
      </c>
      <c r="B72" s="257">
        <f>Calc!B79</f>
        <v>-5.0611600000000003E-4</v>
      </c>
      <c r="C72" s="257">
        <f>Calc!C79</f>
        <v>-5.77123E-5</v>
      </c>
      <c r="D72" s="257">
        <f>Calc!I79</f>
        <v>100000</v>
      </c>
      <c r="E72" s="257">
        <f>Calc!P79</f>
        <v>3.2100225563909774E-9</v>
      </c>
      <c r="F72" s="258">
        <f>Calc!S79</f>
        <v>311524290.69666672</v>
      </c>
      <c r="G72" s="257" t="e">
        <f>Calc!O79</f>
        <v>#DIV/0!</v>
      </c>
      <c r="H72" s="259" t="e">
        <f>Calc!X79</f>
        <v>#DIV/0!</v>
      </c>
      <c r="I72" s="260" t="e">
        <f>Calc!Y79</f>
        <v>#DIV/0!</v>
      </c>
      <c r="J72" s="229"/>
    </row>
    <row r="73" spans="1:10">
      <c r="A73" s="257">
        <f>Calc!A80</f>
        <v>1.8303900000000001E-2</v>
      </c>
      <c r="B73" s="257">
        <f>Calc!B80</f>
        <v>-7.0600600000000002E-4</v>
      </c>
      <c r="C73" s="257">
        <f>Calc!C80</f>
        <v>-1.5861099999999999E-4</v>
      </c>
      <c r="D73" s="257">
        <f>Calc!I80</f>
        <v>100000</v>
      </c>
      <c r="E73" s="257">
        <f>Calc!P80</f>
        <v>3.2100225563909774E-9</v>
      </c>
      <c r="F73" s="258">
        <f>Calc!S80</f>
        <v>311524290.69666672</v>
      </c>
      <c r="G73" s="257" t="e">
        <f>Calc!O80</f>
        <v>#DIV/0!</v>
      </c>
      <c r="H73" s="259" t="e">
        <f>Calc!X80</f>
        <v>#DIV/0!</v>
      </c>
      <c r="I73" s="260" t="e">
        <f>Calc!Y80</f>
        <v>#DIV/0!</v>
      </c>
      <c r="J73" s="229"/>
    </row>
    <row r="74" spans="1:10">
      <c r="A74" s="257">
        <f>Calc!A81</f>
        <v>1.8559900000000001E-2</v>
      </c>
      <c r="B74" s="257">
        <f>Calc!B81</f>
        <v>-5.7077500000000004E-4</v>
      </c>
      <c r="C74" s="257">
        <f>Calc!C81</f>
        <v>-1.42208E-4</v>
      </c>
      <c r="D74" s="257">
        <f>Calc!I81</f>
        <v>100000</v>
      </c>
      <c r="E74" s="257">
        <f>Calc!P81</f>
        <v>3.2100225563909774E-9</v>
      </c>
      <c r="F74" s="258">
        <f>Calc!S81</f>
        <v>311524290.69666672</v>
      </c>
      <c r="G74" s="257" t="e">
        <f>Calc!O81</f>
        <v>#DIV/0!</v>
      </c>
      <c r="H74" s="259" t="e">
        <f>Calc!X81</f>
        <v>#DIV/0!</v>
      </c>
      <c r="I74" s="260" t="e">
        <f>Calc!Y81</f>
        <v>#DIV/0!</v>
      </c>
      <c r="J74" s="229"/>
    </row>
    <row r="75" spans="1:10">
      <c r="A75" s="257">
        <f>Calc!A82</f>
        <v>1.88159E-2</v>
      </c>
      <c r="B75" s="257">
        <f>Calc!B82</f>
        <v>-5.4979400000000004E-4</v>
      </c>
      <c r="C75" s="257">
        <f>Calc!C82</f>
        <v>-2.6313399999999999E-4</v>
      </c>
      <c r="D75" s="257">
        <f>Calc!I82</f>
        <v>100000</v>
      </c>
      <c r="E75" s="257">
        <f>Calc!P82</f>
        <v>3.2100225563909774E-9</v>
      </c>
      <c r="F75" s="258">
        <f>Calc!S82</f>
        <v>311524290.69666672</v>
      </c>
      <c r="G75" s="257" t="e">
        <f>Calc!O82</f>
        <v>#DIV/0!</v>
      </c>
      <c r="H75" s="259" t="e">
        <f>Calc!X82</f>
        <v>#DIV/0!</v>
      </c>
      <c r="I75" s="260" t="e">
        <f>Calc!Y82</f>
        <v>#DIV/0!</v>
      </c>
      <c r="J75" s="229"/>
    </row>
    <row r="76" spans="1:10">
      <c r="A76" s="257">
        <f>Calc!A83</f>
        <v>1.9071899999999999E-2</v>
      </c>
      <c r="B76" s="257">
        <f>Calc!B83</f>
        <v>-6.8483400000000005E-4</v>
      </c>
      <c r="C76" s="257">
        <f>Calc!C83</f>
        <v>-3.2474100000000003E-4</v>
      </c>
      <c r="D76" s="257">
        <f>Calc!I83</f>
        <v>100000</v>
      </c>
      <c r="E76" s="257">
        <f>Calc!P83</f>
        <v>3.2100225563909774E-9</v>
      </c>
      <c r="F76" s="258">
        <f>Calc!S83</f>
        <v>311524290.69666672</v>
      </c>
      <c r="G76" s="257" t="e">
        <f>Calc!O83</f>
        <v>#DIV/0!</v>
      </c>
      <c r="H76" s="259" t="e">
        <f>Calc!X83</f>
        <v>#DIV/0!</v>
      </c>
      <c r="I76" s="260" t="e">
        <f>Calc!Y83</f>
        <v>#DIV/0!</v>
      </c>
      <c r="J76" s="229"/>
    </row>
    <row r="77" spans="1:10">
      <c r="A77" s="257">
        <f>Calc!A84</f>
        <v>1.9327899999999999E-2</v>
      </c>
      <c r="B77" s="257">
        <f>Calc!B84</f>
        <v>-4.9314599999999997E-4</v>
      </c>
      <c r="C77" s="257">
        <f>Calc!C84</f>
        <v>-3.5640299999999998E-4</v>
      </c>
      <c r="D77" s="257">
        <f>Calc!I84</f>
        <v>100000</v>
      </c>
      <c r="E77" s="257">
        <f>Calc!P84</f>
        <v>3.2100225563909774E-9</v>
      </c>
      <c r="F77" s="258">
        <f>Calc!S84</f>
        <v>311524290.69666672</v>
      </c>
      <c r="G77" s="257" t="e">
        <f>Calc!O84</f>
        <v>#DIV/0!</v>
      </c>
      <c r="H77" s="259" t="e">
        <f>Calc!X84</f>
        <v>#DIV/0!</v>
      </c>
      <c r="I77" s="260" t="e">
        <f>Calc!Y84</f>
        <v>#DIV/0!</v>
      </c>
      <c r="J77" s="229"/>
    </row>
    <row r="78" spans="1:10">
      <c r="A78" s="257">
        <f>Calc!A85</f>
        <v>1.9583900000000001E-2</v>
      </c>
      <c r="B78" s="257">
        <f>Calc!B85</f>
        <v>-3.9320000000000002E-4</v>
      </c>
      <c r="C78" s="257">
        <f>Calc!C85</f>
        <v>-1.22371E-4</v>
      </c>
      <c r="D78" s="257">
        <f>Calc!I85</f>
        <v>100000</v>
      </c>
      <c r="E78" s="257">
        <f>Calc!P85</f>
        <v>3.2100225563909774E-9</v>
      </c>
      <c r="F78" s="258">
        <f>Calc!S85</f>
        <v>311524290.69666672</v>
      </c>
      <c r="G78" s="257" t="e">
        <f>Calc!O85</f>
        <v>#DIV/0!</v>
      </c>
      <c r="H78" s="259" t="e">
        <f>Calc!X85</f>
        <v>#DIV/0!</v>
      </c>
      <c r="I78" s="260" t="e">
        <f>Calc!Y85</f>
        <v>#DIV/0!</v>
      </c>
      <c r="J78" s="229"/>
    </row>
    <row r="79" spans="1:10">
      <c r="A79" s="257">
        <f>Calc!A86</f>
        <v>1.9839900000000001E-2</v>
      </c>
      <c r="B79" s="257">
        <f>Calc!B86</f>
        <v>-5.3033900000000001E-4</v>
      </c>
      <c r="C79" s="257">
        <f>Calc!C86</f>
        <v>-8.9946500000000004E-5</v>
      </c>
      <c r="D79" s="257">
        <f>Calc!I86</f>
        <v>100000</v>
      </c>
      <c r="E79" s="257">
        <f>Calc!P86</f>
        <v>3.2100225563909774E-9</v>
      </c>
      <c r="F79" s="258">
        <f>Calc!S86</f>
        <v>311524290.69666672</v>
      </c>
      <c r="G79" s="257" t="e">
        <f>Calc!O86</f>
        <v>#DIV/0!</v>
      </c>
      <c r="H79" s="259" t="e">
        <f>Calc!X86</f>
        <v>#DIV/0!</v>
      </c>
      <c r="I79" s="260" t="e">
        <f>Calc!Y86</f>
        <v>#DIV/0!</v>
      </c>
      <c r="J79" s="229"/>
    </row>
    <row r="80" spans="1:10">
      <c r="A80" s="257">
        <f>Calc!A87</f>
        <v>2.00959E-2</v>
      </c>
      <c r="B80" s="257">
        <f>Calc!B87</f>
        <v>-4.7865000000000001E-4</v>
      </c>
      <c r="C80" s="257">
        <f>Calc!C87</f>
        <v>-3.2153899999999997E-5</v>
      </c>
      <c r="D80" s="257">
        <f>Calc!I87</f>
        <v>100000</v>
      </c>
      <c r="E80" s="257">
        <f>Calc!P87</f>
        <v>3.2100225563909774E-9</v>
      </c>
      <c r="F80" s="258">
        <f>Calc!S87</f>
        <v>311524290.69666672</v>
      </c>
      <c r="G80" s="257" t="e">
        <f>Calc!O87</f>
        <v>#DIV/0!</v>
      </c>
      <c r="H80" s="259" t="e">
        <f>Calc!X87</f>
        <v>#DIV/0!</v>
      </c>
      <c r="I80" s="260" t="e">
        <f>Calc!Y87</f>
        <v>#DIV/0!</v>
      </c>
      <c r="J80" s="229"/>
    </row>
    <row r="81" spans="1:10">
      <c r="A81" s="257">
        <f>Calc!A88</f>
        <v>2.0351899999999999E-2</v>
      </c>
      <c r="B81" s="257">
        <f>Calc!B88</f>
        <v>-1.5173000000000001E-4</v>
      </c>
      <c r="C81" s="257">
        <f>Calc!C88</f>
        <v>3.61292E-5</v>
      </c>
      <c r="D81" s="257">
        <f>Calc!I88</f>
        <v>100000</v>
      </c>
      <c r="E81" s="257">
        <f>Calc!P88</f>
        <v>9.6677092362240919E-12</v>
      </c>
      <c r="F81" s="258">
        <f>Calc!S88</f>
        <v>103437119959.40923</v>
      </c>
      <c r="G81" s="257" t="e">
        <f>Calc!O88</f>
        <v>#DIV/0!</v>
      </c>
      <c r="H81" s="259" t="e">
        <f>Calc!X88</f>
        <v>#DIV/0!</v>
      </c>
      <c r="I81" s="260" t="e">
        <f>Calc!Y88</f>
        <v>#DIV/0!</v>
      </c>
      <c r="J81" s="229"/>
    </row>
    <row r="82" spans="1:10">
      <c r="A82" s="257">
        <f>Calc!A89</f>
        <v>2.0607899999999998E-2</v>
      </c>
      <c r="B82" s="257">
        <f>Calc!B89</f>
        <v>-4.0311900000000001E-4</v>
      </c>
      <c r="C82" s="257">
        <f>Calc!C89</f>
        <v>2.5066600000000002E-5</v>
      </c>
      <c r="D82" s="257">
        <f>Calc!I89</f>
        <v>100000</v>
      </c>
      <c r="E82" s="257">
        <f>Calc!P89</f>
        <v>1.393434293192485E-11</v>
      </c>
      <c r="F82" s="258">
        <f>Calc!S89</f>
        <v>71765134881.883011</v>
      </c>
      <c r="G82" s="257" t="e">
        <f>Calc!O89</f>
        <v>#DIV/0!</v>
      </c>
      <c r="H82" s="259" t="e">
        <f>Calc!X89</f>
        <v>#DIV/0!</v>
      </c>
      <c r="I82" s="260" t="e">
        <f>Calc!Y89</f>
        <v>#DIV/0!</v>
      </c>
      <c r="J82" s="229"/>
    </row>
    <row r="83" spans="1:10">
      <c r="A83" s="257">
        <f>Calc!A90</f>
        <v>2.0863900000000001E-2</v>
      </c>
      <c r="B83" s="257">
        <f>Calc!B90</f>
        <v>-5.9175500000000002E-4</v>
      </c>
      <c r="C83" s="257">
        <f>Calc!C90</f>
        <v>6.9467900000000003E-6</v>
      </c>
      <c r="D83" s="257">
        <f>Calc!I90</f>
        <v>100000</v>
      </c>
      <c r="E83" s="257">
        <f>Calc!P90</f>
        <v>5.0280287807373977E-11</v>
      </c>
      <c r="F83" s="258">
        <f>Calc!S90</f>
        <v>19888509863.568096</v>
      </c>
      <c r="G83" s="257" t="e">
        <f>Calc!O90</f>
        <v>#DIV/0!</v>
      </c>
      <c r="H83" s="259" t="e">
        <f>Calc!X90</f>
        <v>#DIV/0!</v>
      </c>
      <c r="I83" s="260" t="e">
        <f>Calc!Y90</f>
        <v>#DIV/0!</v>
      </c>
      <c r="J83" s="229"/>
    </row>
    <row r="84" spans="1:10">
      <c r="A84" s="257">
        <f>Calc!A91</f>
        <v>2.11199E-2</v>
      </c>
      <c r="B84" s="257">
        <f>Calc!B91</f>
        <v>-3.3273800000000001E-4</v>
      </c>
      <c r="C84" s="257">
        <f>Calc!C91</f>
        <v>-1.4034E-5</v>
      </c>
      <c r="D84" s="257">
        <f>Calc!I91</f>
        <v>100000</v>
      </c>
      <c r="E84" s="257">
        <f>Calc!P91</f>
        <v>3.2100225563909774E-9</v>
      </c>
      <c r="F84" s="258">
        <f>Calc!S91</f>
        <v>311524290.69666672</v>
      </c>
      <c r="G84" s="257" t="e">
        <f>Calc!O91</f>
        <v>#DIV/0!</v>
      </c>
      <c r="H84" s="259" t="e">
        <f>Calc!X91</f>
        <v>#DIV/0!</v>
      </c>
      <c r="I84" s="260" t="e">
        <f>Calc!Y91</f>
        <v>#DIV/0!</v>
      </c>
      <c r="J84" s="229"/>
    </row>
    <row r="85" spans="1:10">
      <c r="A85" s="257">
        <f>Calc!A92</f>
        <v>2.13759E-2</v>
      </c>
      <c r="B85" s="257">
        <f>Calc!B92</f>
        <v>-5.2461700000000001E-4</v>
      </c>
      <c r="C85" s="257">
        <f>Calc!C92</f>
        <v>-1.21267E-5</v>
      </c>
      <c r="D85" s="257">
        <f>Calc!I92</f>
        <v>100000</v>
      </c>
      <c r="E85" s="257">
        <f>Calc!P92</f>
        <v>3.2100225563909774E-9</v>
      </c>
      <c r="F85" s="258">
        <f>Calc!S92</f>
        <v>311524290.69666672</v>
      </c>
      <c r="G85" s="257" t="e">
        <f>Calc!O92</f>
        <v>#DIV/0!</v>
      </c>
      <c r="H85" s="259" t="e">
        <f>Calc!X92</f>
        <v>#DIV/0!</v>
      </c>
      <c r="I85" s="260" t="e">
        <f>Calc!Y92</f>
        <v>#DIV/0!</v>
      </c>
      <c r="J85" s="229"/>
    </row>
    <row r="86" spans="1:10">
      <c r="A86" s="257">
        <f>Calc!A93</f>
        <v>2.1631899999999999E-2</v>
      </c>
      <c r="B86" s="257">
        <f>Calc!B93</f>
        <v>-3.5143000000000001E-4</v>
      </c>
      <c r="C86" s="257">
        <f>Calc!C93</f>
        <v>1.8581599999999998E-5</v>
      </c>
      <c r="D86" s="257">
        <f>Calc!I93</f>
        <v>100000</v>
      </c>
      <c r="E86" s="257">
        <f>Calc!P93</f>
        <v>1.8797444813007894E-11</v>
      </c>
      <c r="F86" s="258">
        <f>Calc!S93</f>
        <v>53198719823.238777</v>
      </c>
      <c r="G86" s="257" t="e">
        <f>Calc!O93</f>
        <v>#DIV/0!</v>
      </c>
      <c r="H86" s="259" t="e">
        <f>Calc!X93</f>
        <v>#DIV/0!</v>
      </c>
      <c r="I86" s="260" t="e">
        <f>Calc!Y93</f>
        <v>#DIV/0!</v>
      </c>
      <c r="J86" s="229"/>
    </row>
    <row r="87" spans="1:10">
      <c r="A87" s="257">
        <f>Calc!A94</f>
        <v>2.1887899999999998E-2</v>
      </c>
      <c r="B87" s="257">
        <f>Calc!B94</f>
        <v>-3.33691E-4</v>
      </c>
      <c r="C87" s="257">
        <f>Calc!C94</f>
        <v>-6.4046499999999997E-6</v>
      </c>
      <c r="D87" s="257">
        <f>Calc!I94</f>
        <v>100000</v>
      </c>
      <c r="E87" s="257">
        <f>Calc!P94</f>
        <v>3.2100225563909774E-9</v>
      </c>
      <c r="F87" s="258">
        <f>Calc!S94</f>
        <v>311524290.69666672</v>
      </c>
      <c r="G87" s="257" t="e">
        <f>Calc!O94</f>
        <v>#DIV/0!</v>
      </c>
      <c r="H87" s="259" t="e">
        <f>Calc!X94</f>
        <v>#DIV/0!</v>
      </c>
      <c r="I87" s="260" t="e">
        <f>Calc!Y94</f>
        <v>#DIV/0!</v>
      </c>
      <c r="J87" s="229"/>
    </row>
    <row r="88" spans="1:10">
      <c r="A88" s="257">
        <f>Calc!A95</f>
        <v>2.2143900000000001E-2</v>
      </c>
      <c r="B88" s="257">
        <f>Calc!B95</f>
        <v>-3.58487E-4</v>
      </c>
      <c r="C88" s="257">
        <f>Calc!C95</f>
        <v>-1.7467300000000001E-5</v>
      </c>
      <c r="D88" s="257">
        <f>Calc!I95</f>
        <v>100000</v>
      </c>
      <c r="E88" s="257">
        <f>Calc!P95</f>
        <v>3.2100225563909774E-9</v>
      </c>
      <c r="F88" s="258">
        <f>Calc!S95</f>
        <v>311524290.69666672</v>
      </c>
      <c r="G88" s="257" t="e">
        <f>Calc!O95</f>
        <v>#DIV/0!</v>
      </c>
      <c r="H88" s="259" t="e">
        <f>Calc!X95</f>
        <v>#DIV/0!</v>
      </c>
      <c r="I88" s="260" t="e">
        <f>Calc!Y95</f>
        <v>#DIV/0!</v>
      </c>
      <c r="J88" s="229"/>
    </row>
    <row r="89" spans="1:10">
      <c r="A89" s="257">
        <f>Calc!A96</f>
        <v>2.23999E-2</v>
      </c>
      <c r="B89" s="257">
        <f>Calc!B96</f>
        <v>-3.6287400000000001E-4</v>
      </c>
      <c r="C89" s="257">
        <f>Calc!C96</f>
        <v>-5.6758700000000003E-5</v>
      </c>
      <c r="D89" s="257">
        <f>Calc!I96</f>
        <v>100000</v>
      </c>
      <c r="E89" s="257">
        <f>Calc!P96</f>
        <v>3.2100225563909774E-9</v>
      </c>
      <c r="F89" s="258">
        <f>Calc!S96</f>
        <v>311524290.69666672</v>
      </c>
      <c r="G89" s="257" t="e">
        <f>Calc!O96</f>
        <v>#DIV/0!</v>
      </c>
      <c r="H89" s="259" t="e">
        <f>Calc!X96</f>
        <v>#DIV/0!</v>
      </c>
      <c r="I89" s="260" t="e">
        <f>Calc!Y96</f>
        <v>#DIV/0!</v>
      </c>
      <c r="J89" s="229"/>
    </row>
    <row r="90" spans="1:10">
      <c r="A90" s="257">
        <f>Calc!A97</f>
        <v>2.26559E-2</v>
      </c>
      <c r="B90" s="257">
        <f>Calc!B97</f>
        <v>-4.3363599999999999E-4</v>
      </c>
      <c r="C90" s="257">
        <f>Calc!C97</f>
        <v>-4.3025699999999997E-5</v>
      </c>
      <c r="D90" s="257">
        <f>Calc!I97</f>
        <v>100000</v>
      </c>
      <c r="E90" s="257">
        <f>Calc!P97</f>
        <v>3.2100225563909774E-9</v>
      </c>
      <c r="F90" s="258">
        <f>Calc!S97</f>
        <v>311524290.69666672</v>
      </c>
      <c r="G90" s="257" t="e">
        <f>Calc!O97</f>
        <v>#DIV/0!</v>
      </c>
      <c r="H90" s="259" t="e">
        <f>Calc!X97</f>
        <v>#DIV/0!</v>
      </c>
      <c r="I90" s="260" t="e">
        <f>Calc!Y97</f>
        <v>#DIV/0!</v>
      </c>
      <c r="J90" s="229"/>
    </row>
    <row r="91" spans="1:10">
      <c r="A91" s="257">
        <f>Calc!A98</f>
        <v>2.2911899999999999E-2</v>
      </c>
      <c r="B91" s="257">
        <f>Calc!B98</f>
        <v>-3.5085699999999999E-4</v>
      </c>
      <c r="C91" s="257">
        <f>Calc!C98</f>
        <v>6.1687700000000002E-5</v>
      </c>
      <c r="D91" s="257">
        <f>Calc!I98</f>
        <v>100000</v>
      </c>
      <c r="E91" s="257">
        <f>Calc!P98</f>
        <v>5.6621757747069103E-12</v>
      </c>
      <c r="F91" s="258">
        <f>Calc!S98</f>
        <v>176610553926.46527</v>
      </c>
      <c r="G91" s="257" t="e">
        <f>Calc!O98</f>
        <v>#DIV/0!</v>
      </c>
      <c r="H91" s="259" t="e">
        <f>Calc!X98</f>
        <v>#DIV/0!</v>
      </c>
      <c r="I91" s="260" t="e">
        <f>Calc!Y98</f>
        <v>#DIV/0!</v>
      </c>
      <c r="J91" s="229"/>
    </row>
    <row r="92" spans="1:10">
      <c r="A92" s="257">
        <f>Calc!A99</f>
        <v>2.3167900000000002E-2</v>
      </c>
      <c r="B92" s="257">
        <f>Calc!B99</f>
        <v>-1.8892299999999999E-4</v>
      </c>
      <c r="C92" s="257">
        <f>Calc!C99</f>
        <v>-1.0219300000000001E-5</v>
      </c>
      <c r="D92" s="257">
        <f>Calc!I99</f>
        <v>100000</v>
      </c>
      <c r="E92" s="257">
        <f>Calc!P99</f>
        <v>3.2100225563909774E-9</v>
      </c>
      <c r="F92" s="258">
        <f>Calc!S99</f>
        <v>311524290.69666672</v>
      </c>
      <c r="G92" s="257" t="e">
        <f>Calc!O99</f>
        <v>#DIV/0!</v>
      </c>
      <c r="H92" s="259" t="e">
        <f>Calc!X99</f>
        <v>#DIV/0!</v>
      </c>
      <c r="I92" s="260" t="e">
        <f>Calc!Y99</f>
        <v>#DIV/0!</v>
      </c>
      <c r="J92" s="229"/>
    </row>
    <row r="93" spans="1:10">
      <c r="A93" s="257">
        <f>Calc!A100</f>
        <v>2.3423900000000001E-2</v>
      </c>
      <c r="B93" s="257">
        <f>Calc!B100</f>
        <v>-4.1627899999999998E-4</v>
      </c>
      <c r="C93" s="257">
        <f>Calc!C100</f>
        <v>-6.5953899999999997E-6</v>
      </c>
      <c r="D93" s="257">
        <f>Calc!I100</f>
        <v>100000</v>
      </c>
      <c r="E93" s="257">
        <f>Calc!P100</f>
        <v>3.2100225563909774E-9</v>
      </c>
      <c r="F93" s="258">
        <f>Calc!S100</f>
        <v>311524290.69666672</v>
      </c>
      <c r="G93" s="257" t="e">
        <f>Calc!O100</f>
        <v>#DIV/0!</v>
      </c>
      <c r="H93" s="259" t="e">
        <f>Calc!X100</f>
        <v>#DIV/0!</v>
      </c>
      <c r="I93" s="260" t="e">
        <f>Calc!Y100</f>
        <v>#DIV/0!</v>
      </c>
      <c r="J93" s="229"/>
    </row>
    <row r="94" spans="1:10">
      <c r="A94" s="257">
        <f>Calc!A101</f>
        <v>2.36799E-2</v>
      </c>
      <c r="B94" s="257">
        <f>Calc!B101</f>
        <v>-4.9886799999999997E-4</v>
      </c>
      <c r="C94" s="257">
        <f>Calc!C101</f>
        <v>2.44944E-5</v>
      </c>
      <c r="D94" s="257">
        <f>Calc!I101</f>
        <v>100000</v>
      </c>
      <c r="E94" s="257">
        <f>Calc!P101</f>
        <v>1.4259855335806855E-11</v>
      </c>
      <c r="F94" s="258">
        <f>Calc!S101</f>
        <v>70126938629.522766</v>
      </c>
      <c r="G94" s="257" t="e">
        <f>Calc!O101</f>
        <v>#DIV/0!</v>
      </c>
      <c r="H94" s="259" t="e">
        <f>Calc!X101</f>
        <v>#DIV/0!</v>
      </c>
      <c r="I94" s="260" t="e">
        <f>Calc!Y101</f>
        <v>#DIV/0!</v>
      </c>
      <c r="J94" s="229"/>
    </row>
    <row r="95" spans="1:10">
      <c r="A95" s="257">
        <f>Calc!A102</f>
        <v>2.39359E-2</v>
      </c>
      <c r="B95" s="257">
        <f>Calc!B102</f>
        <v>-1.9445500000000001E-4</v>
      </c>
      <c r="C95" s="257">
        <f>Calc!C102</f>
        <v>9.4263399999999993E-6</v>
      </c>
      <c r="D95" s="257">
        <f>Calc!I102</f>
        <v>100000</v>
      </c>
      <c r="E95" s="257">
        <f>Calc!P102</f>
        <v>3.7054318063785889E-11</v>
      </c>
      <c r="F95" s="258">
        <f>Calc!S102</f>
        <v>26987408006.769527</v>
      </c>
      <c r="G95" s="257" t="e">
        <f>Calc!O102</f>
        <v>#DIV/0!</v>
      </c>
      <c r="H95" s="259" t="e">
        <f>Calc!X102</f>
        <v>#DIV/0!</v>
      </c>
      <c r="I95" s="260" t="e">
        <f>Calc!Y102</f>
        <v>#DIV/0!</v>
      </c>
      <c r="J95" s="229"/>
    </row>
    <row r="96" spans="1:10">
      <c r="A96" s="257">
        <f>Calc!A103</f>
        <v>2.4191899999999999E-2</v>
      </c>
      <c r="B96" s="257">
        <f>Calc!B103</f>
        <v>-5.8698699999999997E-4</v>
      </c>
      <c r="C96" s="257">
        <f>Calc!C103</f>
        <v>-1.7848700000000001E-5</v>
      </c>
      <c r="D96" s="257">
        <f>Calc!I103</f>
        <v>100000</v>
      </c>
      <c r="E96" s="257">
        <f>Calc!P103</f>
        <v>3.2100225563909774E-9</v>
      </c>
      <c r="F96" s="258">
        <f>Calc!S103</f>
        <v>311524290.69666672</v>
      </c>
      <c r="G96" s="257" t="e">
        <f>Calc!O103</f>
        <v>#DIV/0!</v>
      </c>
      <c r="H96" s="259" t="e">
        <f>Calc!X103</f>
        <v>#DIV/0!</v>
      </c>
      <c r="I96" s="260" t="e">
        <f>Calc!Y103</f>
        <v>#DIV/0!</v>
      </c>
      <c r="J96" s="229"/>
    </row>
    <row r="97" spans="1:10">
      <c r="A97" s="257">
        <f>Calc!A104</f>
        <v>2.4447900000000002E-2</v>
      </c>
      <c r="B97" s="257">
        <f>Calc!B104</f>
        <v>-4.9943999999999998E-4</v>
      </c>
      <c r="C97" s="257">
        <f>Calc!C104</f>
        <v>2.48759E-5</v>
      </c>
      <c r="D97" s="257">
        <f>Calc!I104</f>
        <v>100000</v>
      </c>
      <c r="E97" s="257">
        <f>Calc!P104</f>
        <v>1.4041164361385415E-11</v>
      </c>
      <c r="F97" s="258">
        <f>Calc!S104</f>
        <v>71219164897.04361</v>
      </c>
      <c r="G97" s="257" t="e">
        <f>Calc!O104</f>
        <v>#DIV/0!</v>
      </c>
      <c r="H97" s="259" t="e">
        <f>Calc!X104</f>
        <v>#DIV/0!</v>
      </c>
      <c r="I97" s="260" t="e">
        <f>Calc!Y104</f>
        <v>#DIV/0!</v>
      </c>
      <c r="J97" s="229"/>
    </row>
    <row r="98" spans="1:10">
      <c r="A98" s="257">
        <f>Calc!A105</f>
        <v>2.4703900000000001E-2</v>
      </c>
      <c r="B98" s="257">
        <f>Calc!B105</f>
        <v>-3.5886799999999998E-4</v>
      </c>
      <c r="C98" s="257">
        <f>Calc!C105</f>
        <v>1.09522E-5</v>
      </c>
      <c r="D98" s="257">
        <f>Calc!I105</f>
        <v>100000</v>
      </c>
      <c r="E98" s="257">
        <f>Calc!P105</f>
        <v>3.1891912176310456E-11</v>
      </c>
      <c r="F98" s="258">
        <f>Calc!S105</f>
        <v>31355912259.874065</v>
      </c>
      <c r="G98" s="257" t="e">
        <f>Calc!O105</f>
        <v>#DIV/0!</v>
      </c>
      <c r="H98" s="259" t="e">
        <f>Calc!X105</f>
        <v>#DIV/0!</v>
      </c>
      <c r="I98" s="260" t="e">
        <f>Calc!Y105</f>
        <v>#DIV/0!</v>
      </c>
      <c r="J98" s="229"/>
    </row>
    <row r="99" spans="1:10">
      <c r="A99" s="257">
        <f>Calc!A106</f>
        <v>2.49599E-2</v>
      </c>
      <c r="B99" s="257">
        <f>Calc!B106</f>
        <v>-4.8837700000000002E-4</v>
      </c>
      <c r="C99" s="257">
        <f>Calc!C106</f>
        <v>2.1784199999999999E-6</v>
      </c>
      <c r="D99" s="257">
        <f>Calc!I106</f>
        <v>100000</v>
      </c>
      <c r="E99" s="257">
        <f>Calc!P106</f>
        <v>1.6033942056049222E-10</v>
      </c>
      <c r="F99" s="258">
        <f>Calc!S106</f>
        <v>6236769451.3572474</v>
      </c>
      <c r="G99" s="257" t="e">
        <f>Calc!O106</f>
        <v>#DIV/0!</v>
      </c>
      <c r="H99" s="259" t="e">
        <f>Calc!X106</f>
        <v>#DIV/0!</v>
      </c>
      <c r="I99" s="260" t="e">
        <f>Calc!Y106</f>
        <v>#DIV/0!</v>
      </c>
      <c r="J99" s="229"/>
    </row>
    <row r="100" spans="1:10">
      <c r="A100" s="257">
        <f>Calc!A107</f>
        <v>2.5215899999999999E-2</v>
      </c>
      <c r="B100" s="257">
        <f>Calc!B107</f>
        <v>-3.93963E-4</v>
      </c>
      <c r="C100" s="257">
        <f>Calc!C107</f>
        <v>4.6047400000000002E-5</v>
      </c>
      <c r="D100" s="257">
        <f>Calc!I107</f>
        <v>100000</v>
      </c>
      <c r="E100" s="257">
        <f>Calc!P107</f>
        <v>7.5853707383562903E-12</v>
      </c>
      <c r="F100" s="258">
        <f>Calc!S107</f>
        <v>131832712532.21497</v>
      </c>
      <c r="G100" s="257" t="e">
        <f>Calc!O107</f>
        <v>#DIV/0!</v>
      </c>
      <c r="H100" s="259" t="e">
        <f>Calc!X107</f>
        <v>#DIV/0!</v>
      </c>
      <c r="I100" s="260" t="e">
        <f>Calc!Y107</f>
        <v>#DIV/0!</v>
      </c>
      <c r="J100" s="229"/>
    </row>
    <row r="101" spans="1:10">
      <c r="A101" s="257">
        <f>Calc!A108</f>
        <v>2.5471899999999999E-2</v>
      </c>
      <c r="B101" s="257">
        <f>Calc!B108</f>
        <v>-4.2142900000000002E-4</v>
      </c>
      <c r="C101" s="257">
        <f>Calc!C108</f>
        <v>4.9099199999999999E-5</v>
      </c>
      <c r="D101" s="257">
        <f>Calc!I108</f>
        <v>100000</v>
      </c>
      <c r="E101" s="257">
        <f>Calc!P108</f>
        <v>7.1138959603697699E-12</v>
      </c>
      <c r="F101" s="258">
        <f>Calc!S108</f>
        <v>140569950076.69769</v>
      </c>
      <c r="G101" s="257" t="e">
        <f>Calc!O108</f>
        <v>#DIV/0!</v>
      </c>
      <c r="H101" s="259" t="e">
        <f>Calc!X108</f>
        <v>#DIV/0!</v>
      </c>
      <c r="I101" s="260" t="e">
        <f>Calc!Y108</f>
        <v>#DIV/0!</v>
      </c>
      <c r="J101" s="229"/>
    </row>
    <row r="102" spans="1:10">
      <c r="A102" s="257">
        <f>Calc!A109</f>
        <v>2.5727900000000001E-2</v>
      </c>
      <c r="B102" s="257">
        <f>Calc!B109</f>
        <v>-4.7216499999999998E-4</v>
      </c>
      <c r="C102" s="257">
        <f>Calc!C109</f>
        <v>2.2586999999999999E-5</v>
      </c>
      <c r="D102" s="257">
        <f>Calc!I109</f>
        <v>100000</v>
      </c>
      <c r="E102" s="257">
        <f>Calc!P109</f>
        <v>1.5464054568441472E-11</v>
      </c>
      <c r="F102" s="258">
        <f>Calc!S109</f>
        <v>64666093589.760521</v>
      </c>
      <c r="G102" s="257" t="e">
        <f>Calc!O109</f>
        <v>#DIV/0!</v>
      </c>
      <c r="H102" s="259" t="e">
        <f>Calc!X109</f>
        <v>#DIV/0!</v>
      </c>
      <c r="I102" s="260" t="e">
        <f>Calc!Y109</f>
        <v>#DIV/0!</v>
      </c>
      <c r="J102" s="229"/>
    </row>
    <row r="103" spans="1:10">
      <c r="A103" s="257">
        <f>Calc!A110</f>
        <v>2.5983900000000001E-2</v>
      </c>
      <c r="B103" s="257">
        <f>Calc!B110</f>
        <v>-5.2156499999999998E-4</v>
      </c>
      <c r="C103" s="257">
        <f>Calc!C110</f>
        <v>4.6047400000000002E-5</v>
      </c>
      <c r="D103" s="257">
        <f>Calc!I110</f>
        <v>100000</v>
      </c>
      <c r="E103" s="257">
        <f>Calc!P110</f>
        <v>7.5853707383562903E-12</v>
      </c>
      <c r="F103" s="258">
        <f>Calc!S110</f>
        <v>131832712532.21497</v>
      </c>
      <c r="G103" s="257" t="e">
        <f>Calc!O110</f>
        <v>#DIV/0!</v>
      </c>
      <c r="H103" s="259" t="e">
        <f>Calc!X110</f>
        <v>#DIV/0!</v>
      </c>
      <c r="I103" s="260" t="e">
        <f>Calc!Y110</f>
        <v>#DIV/0!</v>
      </c>
      <c r="J103" s="229"/>
    </row>
    <row r="104" spans="1:10">
      <c r="A104" s="257">
        <f>Calc!A111</f>
        <v>2.62399E-2</v>
      </c>
      <c r="B104" s="257">
        <f>Calc!B111</f>
        <v>-3.2682499999999999E-4</v>
      </c>
      <c r="C104" s="257">
        <f>Calc!C111</f>
        <v>-1.2548100000000001E-6</v>
      </c>
      <c r="D104" s="257">
        <f>Calc!I111</f>
        <v>100000</v>
      </c>
      <c r="E104" s="257">
        <f>Calc!P111</f>
        <v>3.2100225563909774E-9</v>
      </c>
      <c r="F104" s="258">
        <f>Calc!S111</f>
        <v>311524290.69666672</v>
      </c>
      <c r="G104" s="257" t="e">
        <f>Calc!O111</f>
        <v>#DIV/0!</v>
      </c>
      <c r="H104" s="259" t="e">
        <f>Calc!X111</f>
        <v>#DIV/0!</v>
      </c>
      <c r="I104" s="260" t="e">
        <f>Calc!Y111</f>
        <v>#DIV/0!</v>
      </c>
      <c r="J104" s="229"/>
    </row>
    <row r="105" spans="1:10">
      <c r="A105" s="257">
        <f>Calc!A112</f>
        <v>2.6495899999999999E-2</v>
      </c>
      <c r="B105" s="257">
        <f>Calc!B112</f>
        <v>-3.6306400000000002E-4</v>
      </c>
      <c r="C105" s="257">
        <f>Calc!C112</f>
        <v>2.4685099999999999E-5</v>
      </c>
      <c r="D105" s="257">
        <f>Calc!I112</f>
        <v>100000</v>
      </c>
      <c r="E105" s="257">
        <f>Calc!P112</f>
        <v>1.4149693561597381E-11</v>
      </c>
      <c r="F105" s="258">
        <f>Calc!S112</f>
        <v>70672908614.362137</v>
      </c>
      <c r="G105" s="257" t="e">
        <f>Calc!O112</f>
        <v>#DIV/0!</v>
      </c>
      <c r="H105" s="259" t="e">
        <f>Calc!X112</f>
        <v>#DIV/0!</v>
      </c>
      <c r="I105" s="260" t="e">
        <f>Calc!Y112</f>
        <v>#DIV/0!</v>
      </c>
      <c r="J105" s="229"/>
    </row>
    <row r="106" spans="1:10">
      <c r="A106" s="257">
        <f>Calc!A113</f>
        <v>2.6751899999999999E-2</v>
      </c>
      <c r="B106" s="257">
        <f>Calc!B113</f>
        <v>-4.13609E-4</v>
      </c>
      <c r="C106" s="257">
        <f>Calc!C113</f>
        <v>1.6674300000000001E-5</v>
      </c>
      <c r="D106" s="257">
        <f>Calc!I113</f>
        <v>100000</v>
      </c>
      <c r="E106" s="257">
        <f>Calc!P113</f>
        <v>2.0947602030513272E-11</v>
      </c>
      <c r="F106" s="258">
        <f>Calc!S113</f>
        <v>47738161081.318642</v>
      </c>
      <c r="G106" s="257" t="e">
        <f>Calc!O113</f>
        <v>#DIV/0!</v>
      </c>
      <c r="H106" s="259" t="e">
        <f>Calc!X113</f>
        <v>#DIV/0!</v>
      </c>
      <c r="I106" s="260" t="e">
        <f>Calc!Y113</f>
        <v>#DIV/0!</v>
      </c>
      <c r="J106" s="229"/>
    </row>
    <row r="107" spans="1:10">
      <c r="A107" s="257">
        <f>Calc!A114</f>
        <v>2.7007900000000001E-2</v>
      </c>
      <c r="B107" s="257">
        <f>Calc!B114</f>
        <v>-3.8747800000000002E-4</v>
      </c>
      <c r="C107" s="257">
        <f>Calc!C114</f>
        <v>3.1551599999999998E-5</v>
      </c>
      <c r="D107" s="257">
        <f>Calc!I114</f>
        <v>100000</v>
      </c>
      <c r="E107" s="257">
        <f>Calc!P114</f>
        <v>1.1070329255485853E-11</v>
      </c>
      <c r="F107" s="258">
        <f>Calc!S114</f>
        <v>90331549940.527237</v>
      </c>
      <c r="G107" s="257" t="e">
        <f>Calc!O114</f>
        <v>#DIV/0!</v>
      </c>
      <c r="H107" s="259" t="e">
        <f>Calc!X114</f>
        <v>#DIV/0!</v>
      </c>
      <c r="I107" s="260" t="e">
        <f>Calc!Y114</f>
        <v>#DIV/0!</v>
      </c>
      <c r="J107" s="229"/>
    </row>
    <row r="108" spans="1:10">
      <c r="A108" s="257">
        <f>Calc!A115</f>
        <v>2.7263900000000001E-2</v>
      </c>
      <c r="B108" s="257">
        <f>Calc!B115</f>
        <v>-3.3445399999999998E-4</v>
      </c>
      <c r="C108" s="257">
        <f>Calc!C115</f>
        <v>2.0298200000000002E-5</v>
      </c>
      <c r="D108" s="257">
        <f>Calc!I115</f>
        <v>100000</v>
      </c>
      <c r="E108" s="257">
        <f>Calc!P115</f>
        <v>1.7207762291108935E-11</v>
      </c>
      <c r="F108" s="258">
        <f>Calc!S115</f>
        <v>58113308580.31955</v>
      </c>
      <c r="G108" s="257" t="e">
        <f>Calc!O115</f>
        <v>#DIV/0!</v>
      </c>
      <c r="H108" s="259" t="e">
        <f>Calc!X115</f>
        <v>#DIV/0!</v>
      </c>
      <c r="I108" s="260" t="e">
        <f>Calc!Y115</f>
        <v>#DIV/0!</v>
      </c>
      <c r="J108" s="229"/>
    </row>
    <row r="109" spans="1:10">
      <c r="A109" s="257">
        <f>Calc!A116</f>
        <v>2.75199E-2</v>
      </c>
      <c r="B109" s="257">
        <f>Calc!B116</f>
        <v>-5.2881300000000005E-4</v>
      </c>
      <c r="C109" s="257">
        <f>Calc!C116</f>
        <v>-1.23174E-5</v>
      </c>
      <c r="D109" s="257">
        <f>Calc!I116</f>
        <v>100000</v>
      </c>
      <c r="E109" s="257">
        <f>Calc!P116</f>
        <v>3.2100225563909774E-9</v>
      </c>
      <c r="F109" s="258">
        <f>Calc!S116</f>
        <v>311524290.69666672</v>
      </c>
      <c r="G109" s="257" t="e">
        <f>Calc!O116</f>
        <v>#DIV/0!</v>
      </c>
      <c r="H109" s="259" t="e">
        <f>Calc!X116</f>
        <v>#DIV/0!</v>
      </c>
      <c r="I109" s="260" t="e">
        <f>Calc!Y116</f>
        <v>#DIV/0!</v>
      </c>
      <c r="J109" s="229"/>
    </row>
    <row r="110" spans="1:10">
      <c r="A110" s="257">
        <f>Calc!A117</f>
        <v>2.7775899999999999E-2</v>
      </c>
      <c r="B110" s="257">
        <f>Calc!B117</f>
        <v>-2.9325500000000002E-4</v>
      </c>
      <c r="C110" s="257">
        <f>Calc!C117</f>
        <v>3.5747799999999997E-5</v>
      </c>
      <c r="D110" s="257">
        <f>Calc!I117</f>
        <v>100000</v>
      </c>
      <c r="E110" s="257">
        <f>Calc!P117</f>
        <v>9.7708558439229143E-12</v>
      </c>
      <c r="F110" s="258">
        <f>Calc!S117</f>
        <v>102345179989.73042</v>
      </c>
      <c r="G110" s="257" t="e">
        <f>Calc!O117</f>
        <v>#DIV/0!</v>
      </c>
      <c r="H110" s="259" t="e">
        <f>Calc!X117</f>
        <v>#DIV/0!</v>
      </c>
      <c r="I110" s="260" t="e">
        <f>Calc!Y117</f>
        <v>#DIV/0!</v>
      </c>
      <c r="J110" s="229"/>
    </row>
    <row r="111" spans="1:10">
      <c r="A111" s="257">
        <f>Calc!A118</f>
        <v>2.8031899999999998E-2</v>
      </c>
      <c r="B111" s="257">
        <f>Calc!B118</f>
        <v>-4.3039400000000001E-4</v>
      </c>
      <c r="C111" s="257">
        <f>Calc!C118</f>
        <v>3.61292E-5</v>
      </c>
      <c r="D111" s="257">
        <f>Calc!I118</f>
        <v>100000</v>
      </c>
      <c r="E111" s="257">
        <f>Calc!P118</f>
        <v>9.6677092362240919E-12</v>
      </c>
      <c r="F111" s="258">
        <f>Calc!S118</f>
        <v>103437119959.40923</v>
      </c>
      <c r="G111" s="257" t="e">
        <f>Calc!O118</f>
        <v>#DIV/0!</v>
      </c>
      <c r="H111" s="259" t="e">
        <f>Calc!X118</f>
        <v>#DIV/0!</v>
      </c>
      <c r="I111" s="260" t="e">
        <f>Calc!Y118</f>
        <v>#DIV/0!</v>
      </c>
      <c r="J111" s="229"/>
    </row>
    <row r="112" spans="1:10">
      <c r="A112" s="257">
        <f>Calc!A119</f>
        <v>2.8287900000000001E-2</v>
      </c>
      <c r="B112" s="257">
        <f>Calc!B119</f>
        <v>-2.54727E-4</v>
      </c>
      <c r="C112" s="257">
        <f>Calc!C119</f>
        <v>5.57749E-5</v>
      </c>
      <c r="D112" s="257">
        <f>Calc!I119</f>
        <v>100000</v>
      </c>
      <c r="E112" s="257">
        <f>Calc!P119</f>
        <v>6.2624334698473227E-12</v>
      </c>
      <c r="F112" s="258">
        <f>Calc!S119</f>
        <v>159682335120.1813</v>
      </c>
      <c r="G112" s="257" t="e">
        <f>Calc!O119</f>
        <v>#DIV/0!</v>
      </c>
      <c r="H112" s="259" t="e">
        <f>Calc!X119</f>
        <v>#DIV/0!</v>
      </c>
      <c r="I112" s="260" t="e">
        <f>Calc!Y119</f>
        <v>#DIV/0!</v>
      </c>
      <c r="J112" s="229"/>
    </row>
    <row r="113" spans="1:10">
      <c r="A113" s="257">
        <f>Calc!A120</f>
        <v>2.8543900000000001E-2</v>
      </c>
      <c r="B113" s="257">
        <f>Calc!B120</f>
        <v>-4.1189200000000002E-4</v>
      </c>
      <c r="C113" s="257">
        <f>Calc!C120</f>
        <v>2.6974E-5</v>
      </c>
      <c r="D113" s="257">
        <f>Calc!I120</f>
        <v>100000</v>
      </c>
      <c r="E113" s="257">
        <f>Calc!P120</f>
        <v>1.2949010177852284E-11</v>
      </c>
      <c r="F113" s="258">
        <f>Calc!S120</f>
        <v>77225979921.645218</v>
      </c>
      <c r="G113" s="257" t="e">
        <f>Calc!O120</f>
        <v>#DIV/0!</v>
      </c>
      <c r="H113" s="259" t="e">
        <f>Calc!X120</f>
        <v>#DIV/0!</v>
      </c>
      <c r="I113" s="260" t="e">
        <f>Calc!Y120</f>
        <v>#DIV/0!</v>
      </c>
      <c r="J113" s="229"/>
    </row>
    <row r="114" spans="1:10">
      <c r="A114" s="257">
        <f>Calc!A121</f>
        <v>2.87999E-2</v>
      </c>
      <c r="B114" s="257">
        <f>Calc!B121</f>
        <v>-1.9807900000000001E-4</v>
      </c>
      <c r="C114" s="257">
        <f>Calc!C121</f>
        <v>6.5653200000000002E-6</v>
      </c>
      <c r="D114" s="257">
        <f>Calc!I121</f>
        <v>100000</v>
      </c>
      <c r="E114" s="257">
        <f>Calc!P121</f>
        <v>5.320176328608314E-11</v>
      </c>
      <c r="F114" s="258">
        <f>Calc!S121</f>
        <v>18796369485.399864</v>
      </c>
      <c r="G114" s="257" t="e">
        <f>Calc!O121</f>
        <v>#DIV/0!</v>
      </c>
      <c r="H114" s="259" t="e">
        <f>Calc!X121</f>
        <v>#DIV/0!</v>
      </c>
      <c r="I114" s="260" t="e">
        <f>Calc!Y121</f>
        <v>#DIV/0!</v>
      </c>
      <c r="J114" s="229"/>
    </row>
    <row r="115" spans="1:10">
      <c r="A115" s="257">
        <f>Calc!A122</f>
        <v>2.9055899999999999E-2</v>
      </c>
      <c r="B115" s="257">
        <f>Calc!B122</f>
        <v>-3.9758699999999997E-4</v>
      </c>
      <c r="C115" s="257">
        <f>Calc!C122</f>
        <v>5.7110100000000001E-5</v>
      </c>
      <c r="D115" s="257">
        <f>Calc!I122</f>
        <v>100000</v>
      </c>
      <c r="E115" s="257">
        <f>Calc!P122</f>
        <v>6.1160215187398976E-12</v>
      </c>
      <c r="F115" s="258">
        <f>Calc!S122</f>
        <v>163504983907.58328</v>
      </c>
      <c r="G115" s="257" t="e">
        <f>Calc!O122</f>
        <v>#DIV/0!</v>
      </c>
      <c r="H115" s="259" t="e">
        <f>Calc!X122</f>
        <v>#DIV/0!</v>
      </c>
      <c r="I115" s="260" t="e">
        <f>Calc!Y122</f>
        <v>#DIV/0!</v>
      </c>
      <c r="J115" s="229"/>
    </row>
    <row r="116" spans="1:10">
      <c r="A116" s="257">
        <f>Calc!A123</f>
        <v>2.9311899999999998E-2</v>
      </c>
      <c r="B116" s="257">
        <f>Calc!B123</f>
        <v>-5.5036600000000005E-4</v>
      </c>
      <c r="C116" s="257">
        <f>Calc!C123</f>
        <v>-1.9756099999999999E-5</v>
      </c>
      <c r="D116" s="257">
        <f>Calc!I123</f>
        <v>100000</v>
      </c>
      <c r="E116" s="257">
        <f>Calc!P123</f>
        <v>3.2100225563909774E-9</v>
      </c>
      <c r="F116" s="258">
        <f>Calc!S123</f>
        <v>311524290.69666672</v>
      </c>
      <c r="G116" s="257" t="e">
        <f>Calc!O123</f>
        <v>#DIV/0!</v>
      </c>
      <c r="H116" s="259" t="e">
        <f>Calc!X123</f>
        <v>#DIV/0!</v>
      </c>
      <c r="I116" s="260" t="e">
        <f>Calc!Y123</f>
        <v>#DIV/0!</v>
      </c>
      <c r="J116" s="229"/>
    </row>
    <row r="117" spans="1:10">
      <c r="A117" s="257">
        <f>Calc!A124</f>
        <v>2.9567900000000001E-2</v>
      </c>
      <c r="B117" s="257">
        <f>Calc!B124</f>
        <v>-4.22574E-4</v>
      </c>
      <c r="C117" s="257">
        <f>Calc!C124</f>
        <v>2.14426E-5</v>
      </c>
      <c r="D117" s="257">
        <f>Calc!I124</f>
        <v>100000</v>
      </c>
      <c r="E117" s="257">
        <f>Calc!P124</f>
        <v>1.6289377246107631E-11</v>
      </c>
      <c r="F117" s="258">
        <f>Calc!S124</f>
        <v>61389701085.040031</v>
      </c>
      <c r="G117" s="257" t="e">
        <f>Calc!O124</f>
        <v>#DIV/0!</v>
      </c>
      <c r="H117" s="259" t="e">
        <f>Calc!X124</f>
        <v>#DIV/0!</v>
      </c>
      <c r="I117" s="260" t="e">
        <f>Calc!Y124</f>
        <v>#DIV/0!</v>
      </c>
      <c r="J117" s="229"/>
    </row>
    <row r="118" spans="1:10">
      <c r="A118" s="257">
        <f>Calc!A125</f>
        <v>2.98239E-2</v>
      </c>
      <c r="B118" s="257">
        <f>Calc!B125</f>
        <v>-2.4728800000000002E-4</v>
      </c>
      <c r="C118" s="257">
        <f>Calc!C125</f>
        <v>1.6674300000000001E-5</v>
      </c>
      <c r="D118" s="257">
        <f>Calc!I125</f>
        <v>100000</v>
      </c>
      <c r="E118" s="257">
        <f>Calc!P125</f>
        <v>2.0947602030513272E-11</v>
      </c>
      <c r="F118" s="258">
        <f>Calc!S125</f>
        <v>47738161081.318642</v>
      </c>
      <c r="G118" s="257" t="e">
        <f>Calc!O125</f>
        <v>#DIV/0!</v>
      </c>
      <c r="H118" s="259" t="e">
        <f>Calc!X125</f>
        <v>#DIV/0!</v>
      </c>
      <c r="I118" s="260" t="e">
        <f>Calc!Y125</f>
        <v>#DIV/0!</v>
      </c>
      <c r="J118" s="229"/>
    </row>
    <row r="119" spans="1:10">
      <c r="A119" s="257">
        <f>Calc!A126</f>
        <v>3.00799E-2</v>
      </c>
      <c r="B119" s="257">
        <f>Calc!B126</f>
        <v>-4.2181100000000002E-4</v>
      </c>
      <c r="C119" s="257">
        <f>Calc!C126</f>
        <v>1.1905900000000001E-5</v>
      </c>
      <c r="D119" s="257">
        <f>Calc!I126</f>
        <v>100000</v>
      </c>
      <c r="E119" s="257">
        <f>Calc!P126</f>
        <v>2.9337269802147458E-11</v>
      </c>
      <c r="F119" s="258">
        <f>Calc!S126</f>
        <v>34086334779.755173</v>
      </c>
      <c r="G119" s="257" t="e">
        <f>Calc!O126</f>
        <v>#DIV/0!</v>
      </c>
      <c r="H119" s="259" t="e">
        <f>Calc!X126</f>
        <v>#DIV/0!</v>
      </c>
      <c r="I119" s="260" t="e">
        <f>Calc!Y126</f>
        <v>#DIV/0!</v>
      </c>
      <c r="J119" s="229"/>
    </row>
    <row r="120" spans="1:10">
      <c r="A120" s="257">
        <f>Calc!A127</f>
        <v>3.0335899999999999E-2</v>
      </c>
      <c r="B120" s="257">
        <f>Calc!B127</f>
        <v>-5.8984800000000002E-4</v>
      </c>
      <c r="C120" s="257">
        <f>Calc!C127</f>
        <v>1.60621E-6</v>
      </c>
      <c r="D120" s="257">
        <f>Calc!I127</f>
        <v>100000</v>
      </c>
      <c r="E120" s="257">
        <f>Calc!P127</f>
        <v>2.1746010829056443E-10</v>
      </c>
      <c r="F120" s="258">
        <f>Calc!S127</f>
        <v>4598544569.2127886</v>
      </c>
      <c r="G120" s="257" t="e">
        <f>Calc!O127</f>
        <v>#DIV/0!</v>
      </c>
      <c r="H120" s="259" t="e">
        <f>Calc!X127</f>
        <v>#DIV/0!</v>
      </c>
      <c r="I120" s="260" t="e">
        <f>Calc!Y127</f>
        <v>#DIV/0!</v>
      </c>
      <c r="J120" s="229"/>
    </row>
    <row r="121" spans="1:10">
      <c r="A121" s="257">
        <f>Calc!A128</f>
        <v>3.0591900000000002E-2</v>
      </c>
      <c r="B121" s="257">
        <f>Calc!B128</f>
        <v>-2.9668899999999999E-4</v>
      </c>
      <c r="C121" s="257">
        <f>Calc!C128</f>
        <v>1.7627900000000001E-5</v>
      </c>
      <c r="D121" s="257">
        <f>Calc!I128</f>
        <v>100000</v>
      </c>
      <c r="E121" s="257">
        <f>Calc!P128</f>
        <v>1.9814419218249904E-11</v>
      </c>
      <c r="F121" s="258">
        <f>Calc!S128</f>
        <v>50468297303.357666</v>
      </c>
      <c r="G121" s="257" t="e">
        <f>Calc!O128</f>
        <v>#DIV/0!</v>
      </c>
      <c r="H121" s="259" t="e">
        <f>Calc!X128</f>
        <v>#DIV/0!</v>
      </c>
      <c r="I121" s="260" t="e">
        <f>Calc!Y128</f>
        <v>#DIV/0!</v>
      </c>
      <c r="J121" s="229"/>
    </row>
    <row r="122" spans="1:10">
      <c r="A122" s="257">
        <f>Calc!A129</f>
        <v>3.0847900000000001E-2</v>
      </c>
      <c r="B122" s="257">
        <f>Calc!B129</f>
        <v>-2.8925000000000001E-4</v>
      </c>
      <c r="C122" s="257">
        <f>Calc!C129</f>
        <v>2.22056E-5</v>
      </c>
      <c r="D122" s="257">
        <f>Calc!I129</f>
        <v>100000</v>
      </c>
      <c r="E122" s="257">
        <f>Calc!P129</f>
        <v>1.5729662811965784E-11</v>
      </c>
      <c r="F122" s="258">
        <f>Calc!S129</f>
        <v>63574153620.081764</v>
      </c>
      <c r="G122" s="257" t="e">
        <f>Calc!O129</f>
        <v>#DIV/0!</v>
      </c>
      <c r="H122" s="259" t="e">
        <f>Calc!X129</f>
        <v>#DIV/0!</v>
      </c>
      <c r="I122" s="260" t="e">
        <f>Calc!Y129</f>
        <v>#DIV/0!</v>
      </c>
      <c r="J122" s="229"/>
    </row>
    <row r="123" spans="1:10">
      <c r="A123" s="257">
        <f>Calc!A130</f>
        <v>3.11039E-2</v>
      </c>
      <c r="B123" s="257">
        <f>Calc!B130</f>
        <v>-2.02084E-4</v>
      </c>
      <c r="C123" s="257">
        <f>Calc!C130</f>
        <v>3.8417999999999997E-5</v>
      </c>
      <c r="D123" s="257">
        <f>Calc!I130</f>
        <v>100000</v>
      </c>
      <c r="E123" s="257">
        <f>Calc!P130</f>
        <v>9.0917434675773741E-12</v>
      </c>
      <c r="F123" s="258">
        <f>Calc!S130</f>
        <v>109989904968.8502</v>
      </c>
      <c r="G123" s="257" t="e">
        <f>Calc!O130</f>
        <v>#DIV/0!</v>
      </c>
      <c r="H123" s="259" t="e">
        <f>Calc!X130</f>
        <v>#DIV/0!</v>
      </c>
      <c r="I123" s="260" t="e">
        <f>Calc!Y130</f>
        <v>#DIV/0!</v>
      </c>
      <c r="J123" s="229"/>
    </row>
    <row r="124" spans="1:10">
      <c r="A124" s="257">
        <f>Calc!A131</f>
        <v>3.1359900000000003E-2</v>
      </c>
      <c r="B124" s="257">
        <f>Calc!B131</f>
        <v>-3.42846E-4</v>
      </c>
      <c r="C124" s="257">
        <f>Calc!C131</f>
        <v>1.5529899999999998E-5</v>
      </c>
      <c r="D124" s="257">
        <f>Calc!I131</f>
        <v>100000</v>
      </c>
      <c r="E124" s="257">
        <f>Calc!P131</f>
        <v>2.2491233075382807E-11</v>
      </c>
      <c r="F124" s="258">
        <f>Calc!S131</f>
        <v>44461768576.598137</v>
      </c>
      <c r="G124" s="257" t="e">
        <f>Calc!O131</f>
        <v>#DIV/0!</v>
      </c>
      <c r="H124" s="259" t="e">
        <f>Calc!X131</f>
        <v>#DIV/0!</v>
      </c>
      <c r="I124" s="260" t="e">
        <f>Calc!Y131</f>
        <v>#DIV/0!</v>
      </c>
      <c r="J124" s="229"/>
    </row>
    <row r="125" spans="1:10">
      <c r="A125" s="257">
        <f>Calc!A132</f>
        <v>3.1615900000000002E-2</v>
      </c>
      <c r="B125" s="257">
        <f>Calc!B132</f>
        <v>-1.04237E-4</v>
      </c>
      <c r="C125" s="257">
        <f>Calc!C132</f>
        <v>7.9004600000000006E-6</v>
      </c>
      <c r="D125" s="257">
        <f>Calc!I132</f>
        <v>100000</v>
      </c>
      <c r="E125" s="257">
        <f>Calc!P132</f>
        <v>0</v>
      </c>
      <c r="F125" s="258">
        <f>Calc!S132</f>
        <v>0</v>
      </c>
      <c r="G125" s="257" t="e">
        <f>Calc!O132</f>
        <v>#DIV/0!</v>
      </c>
      <c r="H125" s="259" t="e">
        <f>Calc!X132</f>
        <v>#DIV/0!</v>
      </c>
      <c r="I125" s="260" t="str">
        <f>Calc!Y132</f>
        <v/>
      </c>
      <c r="J125" s="229"/>
    </row>
    <row r="126" spans="1:10">
      <c r="A126" s="257">
        <f>Calc!A133</f>
        <v>3.1871900000000002E-2</v>
      </c>
      <c r="B126" s="257">
        <f>Calc!B133</f>
        <v>-3.2320100000000001E-4</v>
      </c>
      <c r="C126" s="257">
        <f>Calc!C133</f>
        <v>-1.3271100000000001E-5</v>
      </c>
      <c r="D126" s="257">
        <f>Calc!I133</f>
        <v>100000</v>
      </c>
      <c r="E126" s="257">
        <f>Calc!P133</f>
        <v>0</v>
      </c>
      <c r="F126" s="258">
        <f>Calc!S133</f>
        <v>0</v>
      </c>
      <c r="G126" s="257" t="e">
        <f>Calc!O133</f>
        <v>#DIV/0!</v>
      </c>
      <c r="H126" s="259" t="e">
        <f>Calc!X133</f>
        <v>#DIV/0!</v>
      </c>
      <c r="I126" s="260" t="str">
        <f>Calc!Y133</f>
        <v/>
      </c>
      <c r="J126" s="229"/>
    </row>
    <row r="127" spans="1:10">
      <c r="A127" s="229"/>
      <c r="B127" s="229"/>
      <c r="C127" s="229"/>
      <c r="D127" s="229"/>
      <c r="E127" s="229"/>
      <c r="F127" s="229"/>
      <c r="G127" s="229"/>
      <c r="H127" s="229"/>
      <c r="I127" s="229"/>
      <c r="J127" s="229"/>
    </row>
    <row r="128" spans="1:10">
      <c r="A128" s="229"/>
      <c r="B128" s="229"/>
      <c r="C128" s="229"/>
      <c r="D128" s="229"/>
      <c r="E128" s="229"/>
      <c r="F128" s="229"/>
      <c r="G128" s="229"/>
      <c r="H128" s="229"/>
      <c r="I128" s="229"/>
      <c r="J128" s="229"/>
    </row>
    <row r="129" spans="1:10">
      <c r="A129" s="229"/>
      <c r="B129" s="229"/>
      <c r="C129" s="229"/>
      <c r="D129" s="229"/>
      <c r="E129" s="229"/>
      <c r="F129" s="229"/>
      <c r="G129" s="229"/>
      <c r="H129" s="229"/>
      <c r="I129" s="229"/>
      <c r="J129" s="229"/>
    </row>
    <row r="130" spans="1:10">
      <c r="A130" s="229"/>
      <c r="B130" s="229"/>
      <c r="C130" s="229"/>
      <c r="D130" s="229"/>
      <c r="E130" s="229"/>
      <c r="F130" s="229"/>
      <c r="G130" s="229"/>
      <c r="H130" s="229"/>
      <c r="I130" s="229"/>
      <c r="J130" s="229"/>
    </row>
    <row r="131" spans="1:10">
      <c r="A131" s="229"/>
      <c r="B131" s="229"/>
      <c r="C131" s="229"/>
      <c r="D131" s="229"/>
      <c r="E131" s="229"/>
      <c r="F131" s="229"/>
      <c r="G131" s="229"/>
      <c r="H131" s="229"/>
      <c r="I131" s="229"/>
      <c r="J131" s="229"/>
    </row>
    <row r="132" spans="1:10">
      <c r="A132" s="229"/>
      <c r="B132" s="229"/>
      <c r="C132" s="229"/>
      <c r="D132" s="229"/>
      <c r="E132" s="229"/>
      <c r="F132" s="229"/>
      <c r="G132" s="229"/>
      <c r="H132" s="229"/>
      <c r="I132" s="229"/>
      <c r="J132" s="229"/>
    </row>
    <row r="133" spans="1:10">
      <c r="A133" s="229"/>
      <c r="B133" s="229"/>
      <c r="C133" s="229"/>
      <c r="D133" s="229"/>
      <c r="E133" s="229"/>
      <c r="F133" s="229"/>
      <c r="G133" s="229"/>
      <c r="H133" s="229"/>
      <c r="I133" s="229"/>
      <c r="J133" s="229"/>
    </row>
    <row r="134" spans="1:10">
      <c r="A134" s="229"/>
      <c r="B134" s="229"/>
      <c r="C134" s="229"/>
      <c r="D134" s="229"/>
      <c r="E134" s="229"/>
      <c r="F134" s="229"/>
      <c r="G134" s="229"/>
      <c r="H134" s="229"/>
      <c r="I134" s="229"/>
      <c r="J134" s="229"/>
    </row>
    <row r="135" spans="1:10">
      <c r="A135" s="229"/>
      <c r="B135" s="229"/>
      <c r="C135" s="229"/>
      <c r="D135" s="229"/>
      <c r="E135" s="229"/>
      <c r="F135" s="229"/>
      <c r="G135" s="229"/>
      <c r="H135" s="229"/>
      <c r="I135" s="229"/>
      <c r="J135" s="229"/>
    </row>
    <row r="136" spans="1:10">
      <c r="A136" s="229"/>
      <c r="B136" s="229"/>
      <c r="C136" s="229"/>
      <c r="D136" s="229"/>
      <c r="E136" s="229"/>
      <c r="F136" s="229"/>
      <c r="G136" s="229"/>
      <c r="H136" s="229"/>
      <c r="I136" s="229"/>
      <c r="J136" s="229"/>
    </row>
    <row r="137" spans="1:10">
      <c r="A137" s="229"/>
      <c r="B137" s="229"/>
      <c r="C137" s="229"/>
      <c r="D137" s="229"/>
      <c r="E137" s="229"/>
      <c r="F137" s="229"/>
      <c r="G137" s="229"/>
      <c r="H137" s="229"/>
      <c r="I137" s="229"/>
      <c r="J137" s="229"/>
    </row>
    <row r="138" spans="1:10">
      <c r="A138" s="229"/>
      <c r="B138" s="229"/>
      <c r="C138" s="229"/>
      <c r="D138" s="229"/>
      <c r="E138" s="229"/>
      <c r="F138" s="229"/>
      <c r="G138" s="229"/>
      <c r="H138" s="229"/>
      <c r="I138" s="229"/>
      <c r="J138" s="229"/>
    </row>
    <row r="139" spans="1:10">
      <c r="A139" s="229"/>
      <c r="B139" s="229"/>
      <c r="C139" s="229"/>
      <c r="D139" s="229"/>
      <c r="E139" s="229"/>
      <c r="F139" s="229"/>
      <c r="G139" s="229"/>
      <c r="H139" s="229"/>
      <c r="I139" s="229"/>
      <c r="J139" s="229"/>
    </row>
    <row r="140" spans="1:10">
      <c r="A140" s="229"/>
      <c r="B140" s="229"/>
      <c r="C140" s="229"/>
      <c r="D140" s="229"/>
      <c r="E140" s="229"/>
      <c r="F140" s="229"/>
      <c r="G140" s="229"/>
      <c r="H140" s="229"/>
      <c r="I140" s="229"/>
      <c r="J140" s="229"/>
    </row>
    <row r="141" spans="1:10">
      <c r="A141" s="229"/>
      <c r="B141" s="229"/>
      <c r="C141" s="229"/>
      <c r="D141" s="229"/>
      <c r="E141" s="229"/>
      <c r="F141" s="229"/>
      <c r="G141" s="229"/>
      <c r="H141" s="229"/>
      <c r="I141" s="229"/>
      <c r="J141" s="229"/>
    </row>
    <row r="142" spans="1:10">
      <c r="A142" s="229"/>
      <c r="B142" s="229"/>
      <c r="C142" s="229"/>
      <c r="D142" s="229"/>
      <c r="E142" s="229"/>
      <c r="F142" s="229"/>
      <c r="G142" s="229"/>
      <c r="H142" s="229"/>
      <c r="I142" s="229"/>
      <c r="J142" s="229"/>
    </row>
    <row r="143" spans="1:10">
      <c r="A143" s="229"/>
      <c r="B143" s="229"/>
      <c r="C143" s="229"/>
      <c r="D143" s="229"/>
      <c r="E143" s="229"/>
      <c r="F143" s="229"/>
      <c r="G143" s="229"/>
      <c r="H143" s="229"/>
      <c r="I143" s="229"/>
      <c r="J143" s="229"/>
    </row>
    <row r="144" spans="1:10">
      <c r="A144" s="229"/>
      <c r="B144" s="229"/>
      <c r="C144" s="229"/>
      <c r="D144" s="229"/>
      <c r="E144" s="229"/>
      <c r="F144" s="229"/>
      <c r="G144" s="229"/>
      <c r="H144" s="229"/>
      <c r="I144" s="229"/>
      <c r="J144" s="229"/>
    </row>
    <row r="145" spans="1:10">
      <c r="A145" s="229"/>
      <c r="B145" s="229"/>
      <c r="C145" s="229"/>
      <c r="D145" s="229"/>
      <c r="E145" s="229"/>
      <c r="F145" s="229"/>
      <c r="G145" s="229"/>
      <c r="H145" s="229"/>
      <c r="I145" s="229"/>
      <c r="J145" s="229"/>
    </row>
    <row r="146" spans="1:10">
      <c r="A146" s="229"/>
      <c r="B146" s="229"/>
      <c r="C146" s="229"/>
      <c r="D146" s="229"/>
      <c r="E146" s="229"/>
      <c r="F146" s="229"/>
      <c r="G146" s="229"/>
      <c r="H146" s="229"/>
      <c r="I146" s="229"/>
      <c r="J146" s="229"/>
    </row>
    <row r="147" spans="1:10">
      <c r="A147" s="229"/>
      <c r="B147" s="229"/>
      <c r="C147" s="229"/>
      <c r="D147" s="229"/>
      <c r="E147" s="229"/>
      <c r="F147" s="229"/>
      <c r="G147" s="229"/>
      <c r="H147" s="229"/>
      <c r="I147" s="229"/>
      <c r="J147" s="229"/>
    </row>
    <row r="148" spans="1:10">
      <c r="A148" s="229"/>
      <c r="B148" s="229"/>
      <c r="C148" s="229"/>
      <c r="D148" s="229"/>
      <c r="E148" s="229"/>
      <c r="F148" s="229"/>
      <c r="G148" s="229"/>
      <c r="H148" s="229"/>
      <c r="I148" s="229"/>
      <c r="J148" s="229"/>
    </row>
    <row r="149" spans="1:10">
      <c r="A149" s="229"/>
      <c r="B149" s="229"/>
      <c r="C149" s="229"/>
      <c r="D149" s="229"/>
      <c r="E149" s="229"/>
      <c r="F149" s="229"/>
      <c r="G149" s="229"/>
      <c r="H149" s="229"/>
      <c r="I149" s="229"/>
      <c r="J149" s="229"/>
    </row>
    <row r="150" spans="1:10">
      <c r="A150" s="229"/>
      <c r="B150" s="229"/>
      <c r="C150" s="229"/>
      <c r="D150" s="229"/>
      <c r="E150" s="229"/>
      <c r="F150" s="229"/>
      <c r="G150" s="229"/>
      <c r="H150" s="229"/>
      <c r="I150" s="229"/>
      <c r="J150" s="229"/>
    </row>
    <row r="151" spans="1:10">
      <c r="A151" s="229"/>
      <c r="B151" s="229"/>
      <c r="C151" s="229"/>
      <c r="D151" s="229"/>
      <c r="E151" s="229"/>
      <c r="F151" s="229"/>
      <c r="G151" s="229"/>
      <c r="H151" s="229"/>
      <c r="I151" s="229"/>
      <c r="J151" s="229"/>
    </row>
    <row r="152" spans="1:10">
      <c r="A152" s="229"/>
      <c r="B152" s="229"/>
      <c r="C152" s="229"/>
      <c r="D152" s="229"/>
      <c r="E152" s="229"/>
      <c r="F152" s="229"/>
      <c r="G152" s="229"/>
      <c r="H152" s="229"/>
      <c r="I152" s="229"/>
      <c r="J152" s="229"/>
    </row>
    <row r="153" spans="1:10">
      <c r="A153" s="229"/>
      <c r="B153" s="229"/>
      <c r="C153" s="229"/>
      <c r="D153" s="229"/>
      <c r="E153" s="229"/>
      <c r="F153" s="229"/>
      <c r="G153" s="229"/>
      <c r="H153" s="229"/>
      <c r="I153" s="229"/>
      <c r="J153" s="229"/>
    </row>
    <row r="154" spans="1:10">
      <c r="A154" s="229"/>
      <c r="B154" s="229"/>
      <c r="C154" s="229"/>
      <c r="D154" s="229"/>
      <c r="E154" s="229"/>
      <c r="F154" s="229"/>
      <c r="G154" s="229"/>
      <c r="H154" s="229"/>
      <c r="I154" s="229"/>
      <c r="J154" s="229"/>
    </row>
    <row r="155" spans="1:10">
      <c r="A155" s="229"/>
      <c r="B155" s="229"/>
      <c r="C155" s="229"/>
      <c r="D155" s="229"/>
      <c r="E155" s="229"/>
      <c r="F155" s="229"/>
      <c r="G155" s="229"/>
      <c r="H155" s="229"/>
      <c r="I155" s="229"/>
      <c r="J155" s="229"/>
    </row>
    <row r="156" spans="1:10">
      <c r="A156" s="229"/>
      <c r="B156" s="229"/>
      <c r="C156" s="229"/>
      <c r="D156" s="229"/>
      <c r="E156" s="229"/>
      <c r="F156" s="229"/>
      <c r="G156" s="229"/>
      <c r="H156" s="229"/>
      <c r="I156" s="229"/>
      <c r="J156" s="229"/>
    </row>
    <row r="157" spans="1:10">
      <c r="A157" s="229"/>
      <c r="B157" s="229"/>
      <c r="C157" s="229"/>
      <c r="D157" s="229"/>
      <c r="E157" s="229"/>
      <c r="F157" s="229"/>
      <c r="G157" s="229"/>
      <c r="H157" s="229"/>
      <c r="I157" s="229"/>
      <c r="J157" s="229"/>
    </row>
    <row r="158" spans="1:10">
      <c r="A158" s="229"/>
      <c r="B158" s="229"/>
      <c r="C158" s="229"/>
      <c r="D158" s="229"/>
      <c r="E158" s="229"/>
      <c r="F158" s="229"/>
      <c r="G158" s="229"/>
      <c r="H158" s="229"/>
      <c r="I158" s="229"/>
      <c r="J158" s="229"/>
    </row>
    <row r="159" spans="1:10">
      <c r="A159" s="229"/>
      <c r="B159" s="229"/>
      <c r="C159" s="229"/>
      <c r="D159" s="229"/>
      <c r="E159" s="229"/>
      <c r="F159" s="229"/>
      <c r="G159" s="229"/>
      <c r="H159" s="229"/>
      <c r="I159" s="229"/>
      <c r="J159" s="229"/>
    </row>
    <row r="160" spans="1:10">
      <c r="A160" s="229"/>
      <c r="B160" s="229"/>
      <c r="C160" s="229"/>
      <c r="D160" s="229"/>
      <c r="E160" s="229"/>
      <c r="F160" s="229"/>
      <c r="G160" s="229"/>
      <c r="H160" s="229"/>
      <c r="I160" s="229"/>
      <c r="J160" s="229"/>
    </row>
    <row r="161" spans="1:10">
      <c r="A161" s="229"/>
      <c r="B161" s="229"/>
      <c r="C161" s="229"/>
      <c r="D161" s="229"/>
      <c r="E161" s="229"/>
      <c r="F161" s="229"/>
      <c r="G161" s="229"/>
      <c r="H161" s="229"/>
      <c r="I161" s="229"/>
      <c r="J161" s="229"/>
    </row>
    <row r="162" spans="1:10">
      <c r="A162" s="229"/>
      <c r="B162" s="229"/>
      <c r="C162" s="229"/>
      <c r="D162" s="229"/>
      <c r="E162" s="229"/>
      <c r="F162" s="229"/>
      <c r="G162" s="229"/>
      <c r="H162" s="229"/>
      <c r="I162" s="229"/>
      <c r="J162" s="229"/>
    </row>
    <row r="163" spans="1:10">
      <c r="A163" s="229"/>
      <c r="B163" s="229"/>
      <c r="C163" s="229"/>
      <c r="D163" s="229"/>
      <c r="E163" s="229"/>
      <c r="F163" s="229"/>
      <c r="G163" s="229"/>
      <c r="H163" s="229"/>
      <c r="I163" s="229"/>
      <c r="J163" s="229"/>
    </row>
    <row r="164" spans="1:10">
      <c r="A164" s="229"/>
      <c r="B164" s="229"/>
      <c r="C164" s="229"/>
      <c r="D164" s="229"/>
      <c r="E164" s="229"/>
      <c r="F164" s="229"/>
      <c r="G164" s="229"/>
      <c r="H164" s="229"/>
      <c r="I164" s="229"/>
      <c r="J164" s="229"/>
    </row>
    <row r="165" spans="1:10">
      <c r="A165" s="229"/>
      <c r="B165" s="229"/>
      <c r="C165" s="229"/>
      <c r="D165" s="229"/>
      <c r="E165" s="229"/>
      <c r="F165" s="229"/>
      <c r="G165" s="229"/>
      <c r="H165" s="229"/>
      <c r="I165" s="229"/>
      <c r="J165" s="229"/>
    </row>
    <row r="166" spans="1:10">
      <c r="A166" s="229"/>
      <c r="B166" s="229"/>
      <c r="C166" s="229"/>
      <c r="D166" s="229"/>
      <c r="E166" s="229"/>
      <c r="F166" s="229"/>
      <c r="G166" s="229"/>
      <c r="H166" s="229"/>
      <c r="I166" s="229"/>
      <c r="J166" s="229"/>
    </row>
    <row r="167" spans="1:10">
      <c r="A167" s="229"/>
      <c r="B167" s="229"/>
      <c r="C167" s="229"/>
      <c r="D167" s="229"/>
      <c r="E167" s="229"/>
      <c r="F167" s="229"/>
      <c r="G167" s="229"/>
      <c r="H167" s="229"/>
      <c r="I167" s="229"/>
      <c r="J167" s="229"/>
    </row>
    <row r="168" spans="1:10">
      <c r="A168" s="229"/>
      <c r="B168" s="229"/>
      <c r="C168" s="229"/>
      <c r="D168" s="229"/>
      <c r="E168" s="229"/>
      <c r="F168" s="229"/>
      <c r="G168" s="229"/>
      <c r="H168" s="229"/>
      <c r="I168" s="229"/>
      <c r="J168" s="229"/>
    </row>
    <row r="169" spans="1:10">
      <c r="A169" s="229"/>
      <c r="B169" s="229"/>
      <c r="C169" s="229"/>
      <c r="D169" s="229"/>
      <c r="E169" s="229"/>
      <c r="F169" s="229"/>
      <c r="G169" s="229"/>
      <c r="H169" s="229"/>
      <c r="I169" s="229"/>
      <c r="J169" s="229"/>
    </row>
    <row r="170" spans="1:10">
      <c r="A170" s="229"/>
      <c r="B170" s="229"/>
      <c r="C170" s="229"/>
      <c r="D170" s="229"/>
      <c r="E170" s="229"/>
      <c r="F170" s="229"/>
      <c r="G170" s="229"/>
      <c r="H170" s="229"/>
      <c r="I170" s="229"/>
      <c r="J170" s="229"/>
    </row>
    <row r="171" spans="1:10">
      <c r="A171" s="229"/>
      <c r="B171" s="229"/>
      <c r="C171" s="229"/>
      <c r="D171" s="229"/>
      <c r="E171" s="229"/>
      <c r="F171" s="229"/>
      <c r="G171" s="229"/>
      <c r="H171" s="229"/>
      <c r="I171" s="229"/>
      <c r="J171" s="229"/>
    </row>
    <row r="172" spans="1:10">
      <c r="A172" s="229"/>
      <c r="B172" s="229"/>
      <c r="C172" s="229"/>
      <c r="D172" s="229"/>
      <c r="E172" s="229"/>
      <c r="F172" s="229"/>
      <c r="G172" s="229"/>
      <c r="H172" s="229"/>
      <c r="I172" s="229"/>
      <c r="J172" s="229"/>
    </row>
    <row r="173" spans="1:10">
      <c r="A173" s="229"/>
      <c r="B173" s="229"/>
      <c r="C173" s="229"/>
      <c r="D173" s="229"/>
      <c r="E173" s="229"/>
      <c r="F173" s="229"/>
      <c r="G173" s="229"/>
      <c r="H173" s="229"/>
      <c r="I173" s="229"/>
      <c r="J173" s="229"/>
    </row>
    <row r="174" spans="1:10">
      <c r="A174" s="229"/>
      <c r="B174" s="229"/>
      <c r="C174" s="229"/>
      <c r="D174" s="229"/>
      <c r="E174" s="229"/>
      <c r="F174" s="229"/>
      <c r="G174" s="229"/>
      <c r="H174" s="229"/>
      <c r="I174" s="229"/>
      <c r="J174" s="229"/>
    </row>
    <row r="175" spans="1:10">
      <c r="A175" s="229"/>
      <c r="B175" s="229"/>
      <c r="C175" s="229"/>
      <c r="D175" s="229"/>
      <c r="E175" s="229"/>
      <c r="F175" s="229"/>
      <c r="G175" s="229"/>
      <c r="H175" s="229"/>
      <c r="I175" s="229"/>
      <c r="J175" s="229"/>
    </row>
    <row r="176" spans="1:10">
      <c r="A176" s="229"/>
      <c r="B176" s="229"/>
      <c r="C176" s="229"/>
      <c r="D176" s="229"/>
      <c r="E176" s="229"/>
      <c r="F176" s="229"/>
      <c r="G176" s="229"/>
      <c r="H176" s="229"/>
      <c r="I176" s="229"/>
      <c r="J176" s="229"/>
    </row>
    <row r="177" spans="1:10">
      <c r="A177" s="229"/>
      <c r="B177" s="229"/>
      <c r="C177" s="229"/>
      <c r="D177" s="229"/>
      <c r="E177" s="229"/>
      <c r="F177" s="229"/>
      <c r="G177" s="229"/>
      <c r="H177" s="229"/>
      <c r="I177" s="229"/>
      <c r="J177" s="229"/>
    </row>
    <row r="178" spans="1:10">
      <c r="A178" s="229"/>
      <c r="B178" s="229"/>
      <c r="C178" s="229"/>
      <c r="D178" s="229"/>
      <c r="E178" s="229"/>
      <c r="F178" s="229"/>
      <c r="G178" s="229"/>
      <c r="H178" s="229"/>
      <c r="I178" s="229"/>
      <c r="J178" s="229"/>
    </row>
    <row r="179" spans="1:10">
      <c r="A179" s="229"/>
      <c r="B179" s="229"/>
      <c r="C179" s="229"/>
      <c r="D179" s="229"/>
      <c r="E179" s="229"/>
      <c r="F179" s="229"/>
      <c r="G179" s="229"/>
      <c r="H179" s="229"/>
      <c r="I179" s="229"/>
      <c r="J179" s="229"/>
    </row>
    <row r="180" spans="1:10">
      <c r="A180" s="229"/>
      <c r="B180" s="229"/>
      <c r="C180" s="229"/>
      <c r="D180" s="229"/>
      <c r="E180" s="229"/>
      <c r="F180" s="229"/>
      <c r="G180" s="229"/>
      <c r="H180" s="229"/>
      <c r="I180" s="229"/>
      <c r="J180" s="229"/>
    </row>
    <row r="181" spans="1:10">
      <c r="A181" s="229"/>
      <c r="B181" s="229"/>
      <c r="C181" s="229"/>
      <c r="D181" s="229"/>
      <c r="E181" s="229"/>
      <c r="F181" s="229"/>
      <c r="G181" s="229"/>
      <c r="H181" s="229"/>
      <c r="I181" s="229"/>
      <c r="J181" s="229"/>
    </row>
    <row r="182" spans="1:10">
      <c r="A182" s="229"/>
      <c r="B182" s="229"/>
      <c r="C182" s="229"/>
      <c r="D182" s="229"/>
      <c r="E182" s="229"/>
      <c r="F182" s="229"/>
      <c r="G182" s="229"/>
      <c r="H182" s="229"/>
      <c r="I182" s="229"/>
      <c r="J182" s="229"/>
    </row>
    <row r="183" spans="1:10">
      <c r="A183" s="229"/>
      <c r="B183" s="229"/>
      <c r="C183" s="229"/>
      <c r="D183" s="229"/>
      <c r="E183" s="229"/>
      <c r="F183" s="229"/>
      <c r="G183" s="229"/>
      <c r="H183" s="229"/>
      <c r="I183" s="229"/>
      <c r="J183" s="229"/>
    </row>
    <row r="184" spans="1:10">
      <c r="A184" s="229"/>
      <c r="B184" s="229"/>
      <c r="C184" s="229"/>
      <c r="D184" s="229"/>
      <c r="E184" s="229"/>
      <c r="F184" s="229"/>
      <c r="G184" s="229"/>
      <c r="H184" s="229"/>
      <c r="I184" s="229"/>
      <c r="J184" s="229"/>
    </row>
    <row r="185" spans="1:10">
      <c r="A185" s="229"/>
      <c r="B185" s="229"/>
      <c r="C185" s="229"/>
      <c r="D185" s="229"/>
      <c r="E185" s="229"/>
      <c r="F185" s="229"/>
      <c r="G185" s="229"/>
      <c r="H185" s="229"/>
      <c r="I185" s="229"/>
      <c r="J185" s="229"/>
    </row>
    <row r="186" spans="1:10">
      <c r="A186" s="229"/>
      <c r="B186" s="229"/>
      <c r="C186" s="229"/>
      <c r="D186" s="229"/>
      <c r="E186" s="229"/>
      <c r="F186" s="229"/>
      <c r="G186" s="229"/>
      <c r="H186" s="229"/>
      <c r="I186" s="229"/>
      <c r="J186" s="229"/>
    </row>
    <row r="187" spans="1:10">
      <c r="A187" s="229"/>
      <c r="B187" s="229"/>
      <c r="C187" s="229"/>
      <c r="D187" s="229"/>
      <c r="E187" s="229"/>
      <c r="F187" s="229"/>
      <c r="G187" s="229"/>
      <c r="H187" s="229"/>
      <c r="I187" s="229"/>
      <c r="J187" s="229"/>
    </row>
    <row r="188" spans="1:10">
      <c r="A188" s="229"/>
      <c r="B188" s="229"/>
      <c r="C188" s="229"/>
      <c r="D188" s="229"/>
      <c r="E188" s="229"/>
      <c r="F188" s="229"/>
      <c r="G188" s="229"/>
      <c r="H188" s="229"/>
      <c r="I188" s="229"/>
      <c r="J188" s="229"/>
    </row>
    <row r="189" spans="1:10">
      <c r="A189" s="229"/>
      <c r="B189" s="229"/>
      <c r="C189" s="229"/>
      <c r="D189" s="229"/>
      <c r="E189" s="229"/>
      <c r="F189" s="229"/>
      <c r="G189" s="229"/>
      <c r="H189" s="229"/>
      <c r="I189" s="229"/>
      <c r="J189" s="229"/>
    </row>
    <row r="190" spans="1:10">
      <c r="A190" s="229"/>
      <c r="B190" s="229"/>
      <c r="C190" s="229"/>
      <c r="D190" s="229"/>
      <c r="E190" s="229"/>
      <c r="F190" s="229"/>
      <c r="G190" s="229"/>
      <c r="H190" s="229"/>
      <c r="I190" s="229"/>
      <c r="J190" s="229"/>
    </row>
    <row r="191" spans="1:10">
      <c r="A191" s="229"/>
      <c r="B191" s="229"/>
      <c r="C191" s="229"/>
      <c r="D191" s="229"/>
      <c r="E191" s="229"/>
      <c r="F191" s="229"/>
      <c r="G191" s="229"/>
      <c r="H191" s="229"/>
      <c r="I191" s="229"/>
      <c r="J191" s="229"/>
    </row>
    <row r="192" spans="1:10">
      <c r="A192" s="229"/>
      <c r="B192" s="229"/>
      <c r="C192" s="229"/>
      <c r="D192" s="229"/>
      <c r="E192" s="229"/>
      <c r="F192" s="229"/>
      <c r="G192" s="229"/>
      <c r="H192" s="229"/>
      <c r="I192" s="229"/>
      <c r="J192" s="229"/>
    </row>
    <row r="193" spans="1:10">
      <c r="A193" s="229"/>
      <c r="B193" s="229"/>
      <c r="C193" s="229"/>
      <c r="D193" s="229"/>
      <c r="E193" s="229"/>
      <c r="F193" s="229"/>
      <c r="G193" s="229"/>
      <c r="H193" s="229"/>
      <c r="I193" s="229"/>
      <c r="J193" s="229"/>
    </row>
    <row r="194" spans="1:10">
      <c r="A194" s="229"/>
      <c r="B194" s="229"/>
      <c r="C194" s="229"/>
      <c r="D194" s="229"/>
      <c r="E194" s="229"/>
      <c r="F194" s="229"/>
      <c r="G194" s="229"/>
      <c r="H194" s="229"/>
      <c r="I194" s="229"/>
      <c r="J194" s="229"/>
    </row>
    <row r="195" spans="1:10">
      <c r="A195" s="229"/>
      <c r="B195" s="229"/>
      <c r="C195" s="229"/>
      <c r="D195" s="229"/>
      <c r="E195" s="229"/>
      <c r="F195" s="229"/>
      <c r="G195" s="229"/>
      <c r="H195" s="229"/>
      <c r="I195" s="229"/>
      <c r="J195" s="229"/>
    </row>
    <row r="196" spans="1:10">
      <c r="A196" s="229"/>
      <c r="B196" s="229"/>
      <c r="C196" s="229"/>
      <c r="D196" s="229"/>
      <c r="E196" s="229"/>
      <c r="F196" s="229"/>
      <c r="G196" s="229"/>
      <c r="H196" s="229"/>
      <c r="I196" s="229"/>
      <c r="J196" s="229"/>
    </row>
    <row r="197" spans="1:10">
      <c r="A197" s="229"/>
      <c r="B197" s="229"/>
      <c r="C197" s="229"/>
      <c r="D197" s="229"/>
      <c r="E197" s="229"/>
      <c r="F197" s="229"/>
      <c r="G197" s="229"/>
      <c r="H197" s="229"/>
      <c r="I197" s="229"/>
      <c r="J197" s="229"/>
    </row>
    <row r="198" spans="1:10">
      <c r="A198" s="229"/>
      <c r="B198" s="229"/>
      <c r="C198" s="229"/>
      <c r="D198" s="229"/>
      <c r="E198" s="229"/>
      <c r="F198" s="229"/>
      <c r="G198" s="229"/>
      <c r="H198" s="229"/>
      <c r="I198" s="229"/>
      <c r="J198" s="229"/>
    </row>
    <row r="199" spans="1:10">
      <c r="A199" s="229"/>
      <c r="B199" s="229"/>
      <c r="C199" s="229"/>
      <c r="D199" s="229"/>
      <c r="E199" s="229"/>
      <c r="F199" s="229"/>
      <c r="G199" s="229"/>
      <c r="H199" s="229"/>
      <c r="I199" s="229"/>
      <c r="J199" s="229"/>
    </row>
    <row r="200" spans="1:10">
      <c r="A200" s="229"/>
      <c r="B200" s="229"/>
      <c r="C200" s="229"/>
      <c r="D200" s="229"/>
      <c r="E200" s="229"/>
      <c r="F200" s="229"/>
      <c r="G200" s="229"/>
      <c r="H200" s="229"/>
      <c r="I200" s="229"/>
      <c r="J200" s="229"/>
    </row>
    <row r="201" spans="1:10">
      <c r="A201" s="229"/>
      <c r="B201" s="229"/>
      <c r="C201" s="229"/>
      <c r="D201" s="229"/>
      <c r="E201" s="229"/>
      <c r="F201" s="229"/>
      <c r="G201" s="229"/>
      <c r="H201" s="229"/>
      <c r="I201" s="229"/>
      <c r="J201" s="229"/>
    </row>
    <row r="202" spans="1:10">
      <c r="A202" s="229"/>
      <c r="B202" s="229"/>
      <c r="C202" s="229"/>
      <c r="D202" s="229"/>
      <c r="E202" s="229"/>
      <c r="F202" s="229"/>
      <c r="G202" s="229"/>
      <c r="H202" s="229"/>
      <c r="I202" s="229"/>
      <c r="J202" s="229"/>
    </row>
    <row r="203" spans="1:10">
      <c r="A203" s="229"/>
      <c r="B203" s="229"/>
      <c r="C203" s="229"/>
      <c r="D203" s="229"/>
      <c r="E203" s="229"/>
      <c r="F203" s="229"/>
      <c r="G203" s="229"/>
      <c r="H203" s="229"/>
      <c r="I203" s="229"/>
      <c r="J203" s="229"/>
    </row>
    <row r="204" spans="1:10">
      <c r="A204" s="229"/>
      <c r="B204" s="229"/>
      <c r="C204" s="229"/>
      <c r="D204" s="229"/>
      <c r="E204" s="229"/>
      <c r="F204" s="229"/>
      <c r="G204" s="229"/>
      <c r="H204" s="229"/>
      <c r="I204" s="229"/>
      <c r="J204" s="229"/>
    </row>
    <row r="205" spans="1:10">
      <c r="A205" s="229"/>
      <c r="B205" s="229"/>
      <c r="C205" s="229"/>
      <c r="D205" s="229"/>
      <c r="E205" s="229"/>
      <c r="F205" s="229"/>
      <c r="G205" s="229"/>
      <c r="H205" s="229"/>
      <c r="I205" s="229"/>
      <c r="J205" s="229"/>
    </row>
    <row r="206" spans="1:10">
      <c r="A206" s="229"/>
      <c r="B206" s="229"/>
      <c r="C206" s="229"/>
      <c r="D206" s="229"/>
      <c r="E206" s="229"/>
      <c r="F206" s="229"/>
      <c r="G206" s="229"/>
      <c r="H206" s="229"/>
      <c r="I206" s="229"/>
      <c r="J206" s="229"/>
    </row>
    <row r="207" spans="1:10">
      <c r="A207" s="229"/>
      <c r="B207" s="229"/>
      <c r="C207" s="229"/>
      <c r="D207" s="229"/>
      <c r="E207" s="229"/>
      <c r="F207" s="229"/>
      <c r="G207" s="229"/>
      <c r="H207" s="229"/>
      <c r="I207" s="229"/>
      <c r="J207" s="229"/>
    </row>
    <row r="208" spans="1:10">
      <c r="A208" s="229"/>
      <c r="B208" s="229"/>
      <c r="C208" s="229"/>
      <c r="D208" s="229"/>
      <c r="E208" s="229"/>
      <c r="F208" s="229"/>
      <c r="G208" s="229"/>
      <c r="H208" s="229"/>
      <c r="I208" s="229"/>
      <c r="J208" s="229"/>
    </row>
    <row r="209" spans="1:10">
      <c r="A209" s="229"/>
      <c r="B209" s="229"/>
      <c r="C209" s="229"/>
      <c r="D209" s="229"/>
      <c r="E209" s="229"/>
      <c r="F209" s="229"/>
      <c r="G209" s="229"/>
      <c r="H209" s="229"/>
      <c r="I209" s="229"/>
      <c r="J209" s="229"/>
    </row>
    <row r="210" spans="1:10">
      <c r="A210" s="229"/>
      <c r="B210" s="229"/>
      <c r="C210" s="229"/>
      <c r="D210" s="229"/>
      <c r="E210" s="229"/>
      <c r="F210" s="229"/>
      <c r="G210" s="229"/>
      <c r="H210" s="229"/>
      <c r="I210" s="229"/>
      <c r="J210" s="229"/>
    </row>
    <row r="211" spans="1:10">
      <c r="A211" s="229"/>
      <c r="B211" s="229"/>
      <c r="C211" s="229"/>
      <c r="D211" s="229"/>
      <c r="E211" s="229"/>
      <c r="F211" s="229"/>
      <c r="G211" s="229"/>
      <c r="H211" s="229"/>
      <c r="I211" s="229"/>
      <c r="J211" s="229"/>
    </row>
    <row r="212" spans="1:10">
      <c r="A212" s="229"/>
      <c r="B212" s="229"/>
      <c r="C212" s="229"/>
      <c r="D212" s="229"/>
      <c r="E212" s="229"/>
      <c r="F212" s="229"/>
      <c r="G212" s="229"/>
      <c r="H212" s="229"/>
      <c r="I212" s="229"/>
      <c r="J212" s="229"/>
    </row>
    <row r="213" spans="1:10">
      <c r="A213" s="229"/>
      <c r="B213" s="229"/>
      <c r="C213" s="229"/>
      <c r="D213" s="229"/>
      <c r="E213" s="229"/>
      <c r="F213" s="229"/>
      <c r="G213" s="229"/>
      <c r="H213" s="229"/>
      <c r="I213" s="229"/>
      <c r="J213" s="229"/>
    </row>
    <row r="214" spans="1:10">
      <c r="A214" s="229"/>
      <c r="B214" s="229"/>
      <c r="C214" s="229"/>
      <c r="D214" s="229"/>
      <c r="E214" s="229"/>
      <c r="F214" s="229"/>
      <c r="G214" s="229"/>
      <c r="H214" s="229"/>
      <c r="I214" s="229"/>
      <c r="J214" s="229"/>
    </row>
    <row r="215" spans="1:10">
      <c r="A215" s="229"/>
      <c r="B215" s="229"/>
      <c r="C215" s="229"/>
      <c r="D215" s="229"/>
      <c r="E215" s="229"/>
      <c r="F215" s="229"/>
      <c r="G215" s="229"/>
      <c r="H215" s="229"/>
      <c r="I215" s="229"/>
      <c r="J215" s="229"/>
    </row>
    <row r="216" spans="1:10">
      <c r="A216" s="229"/>
      <c r="B216" s="229"/>
      <c r="C216" s="229"/>
      <c r="D216" s="229"/>
      <c r="E216" s="229"/>
      <c r="F216" s="229"/>
      <c r="G216" s="229"/>
      <c r="H216" s="229"/>
      <c r="I216" s="229"/>
      <c r="J216" s="229"/>
    </row>
    <row r="217" spans="1:10">
      <c r="A217" s="229"/>
      <c r="B217" s="229"/>
      <c r="C217" s="229"/>
      <c r="D217" s="229"/>
      <c r="E217" s="229"/>
      <c r="F217" s="229"/>
      <c r="G217" s="229"/>
      <c r="H217" s="229"/>
      <c r="I217" s="229"/>
      <c r="J217" s="229"/>
    </row>
    <row r="218" spans="1:10">
      <c r="A218" s="229"/>
      <c r="B218" s="229"/>
      <c r="C218" s="229"/>
      <c r="D218" s="229"/>
      <c r="E218" s="229"/>
      <c r="F218" s="229"/>
      <c r="G218" s="229"/>
      <c r="H218" s="229"/>
      <c r="I218" s="229"/>
      <c r="J218" s="229"/>
    </row>
    <row r="219" spans="1:10">
      <c r="A219" s="229"/>
      <c r="B219" s="229"/>
      <c r="C219" s="229"/>
      <c r="D219" s="229"/>
      <c r="E219" s="229"/>
      <c r="F219" s="229"/>
      <c r="G219" s="229"/>
      <c r="H219" s="229"/>
      <c r="I219" s="229"/>
      <c r="J219" s="229"/>
    </row>
    <row r="220" spans="1:10">
      <c r="A220" s="229"/>
      <c r="B220" s="229"/>
      <c r="C220" s="229"/>
      <c r="D220" s="229"/>
      <c r="E220" s="229"/>
      <c r="F220" s="229"/>
      <c r="G220" s="229"/>
      <c r="H220" s="229"/>
      <c r="I220" s="229"/>
      <c r="J220" s="229"/>
    </row>
    <row r="221" spans="1:10">
      <c r="A221" s="229"/>
      <c r="B221" s="229"/>
      <c r="C221" s="229"/>
      <c r="D221" s="229"/>
      <c r="E221" s="229"/>
      <c r="F221" s="229"/>
      <c r="G221" s="229"/>
      <c r="H221" s="229"/>
      <c r="I221" s="229"/>
      <c r="J221" s="229"/>
    </row>
    <row r="222" spans="1:10">
      <c r="A222" s="229"/>
      <c r="B222" s="229"/>
      <c r="C222" s="229"/>
      <c r="D222" s="229"/>
      <c r="E222" s="229"/>
      <c r="F222" s="229"/>
      <c r="G222" s="229"/>
      <c r="H222" s="229"/>
      <c r="I222" s="229"/>
      <c r="J222" s="229"/>
    </row>
    <row r="223" spans="1:10">
      <c r="A223" s="229"/>
      <c r="B223" s="229"/>
      <c r="C223" s="229"/>
      <c r="D223" s="229"/>
      <c r="E223" s="229"/>
      <c r="F223" s="229"/>
      <c r="G223" s="229"/>
      <c r="H223" s="229"/>
      <c r="I223" s="229"/>
      <c r="J223" s="229"/>
    </row>
    <row r="224" spans="1:10">
      <c r="A224" s="229"/>
      <c r="B224" s="229"/>
      <c r="C224" s="229"/>
      <c r="D224" s="229"/>
      <c r="E224" s="229"/>
      <c r="F224" s="229"/>
      <c r="G224" s="229"/>
      <c r="H224" s="229"/>
      <c r="I224" s="229"/>
      <c r="J224" s="229"/>
    </row>
    <row r="225" spans="1:10">
      <c r="A225" s="229"/>
      <c r="B225" s="229"/>
      <c r="C225" s="229"/>
      <c r="D225" s="229"/>
      <c r="E225" s="229"/>
      <c r="F225" s="229"/>
      <c r="G225" s="229"/>
      <c r="H225" s="229"/>
      <c r="I225" s="229"/>
      <c r="J225" s="229"/>
    </row>
    <row r="226" spans="1:10">
      <c r="A226" s="229"/>
      <c r="B226" s="229"/>
      <c r="C226" s="229"/>
      <c r="D226" s="229"/>
      <c r="E226" s="229"/>
      <c r="F226" s="229"/>
      <c r="G226" s="229"/>
      <c r="H226" s="229"/>
      <c r="I226" s="229"/>
      <c r="J226" s="22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47"/>
  <sheetViews>
    <sheetView zoomScaleNormal="100" workbookViewId="0">
      <selection activeCell="D13" sqref="D13:E13"/>
    </sheetView>
  </sheetViews>
  <sheetFormatPr defaultRowHeight="12"/>
  <cols>
    <col min="1" max="1" width="4.28515625" style="232" customWidth="1"/>
    <col min="2" max="2" width="34.28515625" style="232" customWidth="1"/>
    <col min="3" max="3" width="10.85546875" style="232" customWidth="1"/>
    <col min="4" max="4" width="11.7109375" style="232" customWidth="1"/>
    <col min="5" max="5" width="12.85546875" style="232" customWidth="1"/>
    <col min="6" max="16384" width="9.140625" style="232"/>
  </cols>
  <sheetData>
    <row r="2" spans="1:7" ht="12.75" customHeight="1">
      <c r="C2" s="344" t="s">
        <v>362</v>
      </c>
      <c r="D2" s="344"/>
      <c r="E2" s="344"/>
      <c r="F2" s="344"/>
      <c r="G2" s="344"/>
    </row>
    <row r="3" spans="1:7" ht="12" customHeight="1">
      <c r="C3" s="344"/>
      <c r="D3" s="344"/>
      <c r="E3" s="344"/>
      <c r="F3" s="344"/>
      <c r="G3" s="344"/>
    </row>
    <row r="4" spans="1:7">
      <c r="C4" s="344"/>
      <c r="D4" s="344"/>
      <c r="E4" s="344"/>
      <c r="F4" s="344"/>
      <c r="G4" s="344"/>
    </row>
    <row r="6" spans="1:7">
      <c r="A6" s="233" t="s">
        <v>291</v>
      </c>
      <c r="B6" s="234"/>
      <c r="C6" s="234"/>
      <c r="D6" s="234"/>
      <c r="E6" s="234"/>
      <c r="F6" s="234"/>
    </row>
    <row r="7" spans="1:7">
      <c r="A7" s="234"/>
      <c r="B7" s="235" t="s">
        <v>292</v>
      </c>
      <c r="C7" s="235" t="s">
        <v>293</v>
      </c>
      <c r="D7" s="345" t="s">
        <v>229</v>
      </c>
      <c r="E7" s="345"/>
      <c r="F7" s="235" t="s">
        <v>294</v>
      </c>
    </row>
    <row r="8" spans="1:7" ht="13.5">
      <c r="A8" s="234"/>
      <c r="B8" s="236" t="s">
        <v>295</v>
      </c>
      <c r="C8" s="237" t="s">
        <v>330</v>
      </c>
      <c r="D8" s="337" t="e">
        <f>MeasuredLifetime</f>
        <v>#DIV/0!</v>
      </c>
      <c r="E8" s="337"/>
      <c r="F8" s="238" t="s">
        <v>331</v>
      </c>
    </row>
    <row r="9" spans="1:7" ht="13.5">
      <c r="A9" s="234"/>
      <c r="B9" s="236" t="s">
        <v>363</v>
      </c>
      <c r="C9" s="238" t="s">
        <v>332</v>
      </c>
      <c r="D9" s="336">
        <f>SpecMCD</f>
        <v>1000000000000000</v>
      </c>
      <c r="E9" s="336"/>
      <c r="F9" s="238" t="s">
        <v>333</v>
      </c>
    </row>
    <row r="10" spans="1:7">
      <c r="A10" s="251"/>
      <c r="B10" s="236" t="s">
        <v>364</v>
      </c>
      <c r="C10" s="250" t="s">
        <v>365</v>
      </c>
      <c r="D10" s="328">
        <f>SheetResistance</f>
        <v>31.800500430077275</v>
      </c>
      <c r="E10" s="329"/>
      <c r="F10" s="250" t="s">
        <v>365</v>
      </c>
    </row>
    <row r="11" spans="1:7">
      <c r="A11" s="234"/>
      <c r="B11" s="236" t="s">
        <v>347</v>
      </c>
      <c r="C11" s="242" t="s">
        <v>301</v>
      </c>
      <c r="D11" s="335" t="s">
        <v>301</v>
      </c>
      <c r="E11" s="336"/>
      <c r="F11" s="242" t="s">
        <v>301</v>
      </c>
    </row>
    <row r="12" spans="1:7" ht="13.5">
      <c r="A12" s="234"/>
      <c r="B12" s="239" t="s">
        <v>296</v>
      </c>
      <c r="C12" s="238" t="s">
        <v>297</v>
      </c>
      <c r="D12" s="350"/>
      <c r="E12" s="350"/>
      <c r="F12" s="238" t="s">
        <v>334</v>
      </c>
    </row>
    <row r="13" spans="1:7" ht="13.5">
      <c r="A13" s="234"/>
      <c r="B13" s="239" t="s">
        <v>348</v>
      </c>
      <c r="C13" s="240" t="s">
        <v>335</v>
      </c>
      <c r="D13" s="350"/>
      <c r="E13" s="350"/>
      <c r="F13" s="238" t="s">
        <v>331</v>
      </c>
    </row>
    <row r="14" spans="1:7" ht="13.5">
      <c r="A14" s="234"/>
      <c r="B14" s="239" t="s">
        <v>349</v>
      </c>
      <c r="C14" s="238" t="s">
        <v>336</v>
      </c>
      <c r="D14" s="351" t="e">
        <f>Jo</f>
        <v>#VALUE!</v>
      </c>
      <c r="E14" s="351"/>
      <c r="F14" s="238" t="s">
        <v>337</v>
      </c>
    </row>
    <row r="15" spans="1:7" ht="6.75" customHeight="1">
      <c r="A15" s="234"/>
      <c r="B15" s="234"/>
      <c r="C15" s="234"/>
      <c r="D15" s="352"/>
      <c r="E15" s="352"/>
      <c r="F15" s="234"/>
    </row>
    <row r="16" spans="1:7">
      <c r="A16" s="233" t="s">
        <v>298</v>
      </c>
      <c r="C16" s="234"/>
      <c r="D16" s="352"/>
      <c r="E16" s="352"/>
      <c r="F16" s="234"/>
    </row>
    <row r="17" spans="1:6">
      <c r="A17" s="234"/>
      <c r="B17" s="235" t="s">
        <v>299</v>
      </c>
      <c r="C17" s="235" t="s">
        <v>293</v>
      </c>
      <c r="D17" s="345" t="s">
        <v>229</v>
      </c>
      <c r="E17" s="345"/>
      <c r="F17" s="235" t="s">
        <v>294</v>
      </c>
    </row>
    <row r="18" spans="1:6">
      <c r="A18" s="234"/>
      <c r="B18" s="241" t="s">
        <v>300</v>
      </c>
      <c r="C18" s="242" t="s">
        <v>301</v>
      </c>
      <c r="D18" s="336" t="str">
        <f>SampleNameUserSheet</f>
        <v>will-130ohm</v>
      </c>
      <c r="E18" s="336"/>
      <c r="F18" s="242" t="s">
        <v>301</v>
      </c>
    </row>
    <row r="19" spans="1:6">
      <c r="A19" s="234"/>
      <c r="B19" s="236" t="s">
        <v>302</v>
      </c>
      <c r="C19" s="238" t="s">
        <v>303</v>
      </c>
      <c r="D19" s="336">
        <f>Thickness</f>
        <v>5.33E-2</v>
      </c>
      <c r="E19" s="336"/>
      <c r="F19" s="243" t="s">
        <v>304</v>
      </c>
    </row>
    <row r="20" spans="1:6">
      <c r="A20" s="234"/>
      <c r="B20" s="236" t="s">
        <v>305</v>
      </c>
      <c r="C20" s="238" t="s">
        <v>306</v>
      </c>
      <c r="D20" s="350"/>
      <c r="E20" s="350"/>
      <c r="F20" s="238" t="s">
        <v>338</v>
      </c>
    </row>
    <row r="21" spans="1:6" ht="13.5">
      <c r="A21" s="234"/>
      <c r="B21" s="236" t="s">
        <v>307</v>
      </c>
      <c r="C21" s="238" t="s">
        <v>339</v>
      </c>
      <c r="D21" s="351">
        <f>SampleDoping</f>
        <v>44279440842219.18</v>
      </c>
      <c r="E21" s="351"/>
      <c r="F21" s="238" t="s">
        <v>333</v>
      </c>
    </row>
    <row r="22" spans="1:6">
      <c r="A22" s="234"/>
      <c r="B22" s="236" t="s">
        <v>308</v>
      </c>
      <c r="C22" s="238" t="s">
        <v>309</v>
      </c>
      <c r="D22" s="336" t="str">
        <f>SampleType</f>
        <v>n-type</v>
      </c>
      <c r="E22" s="336"/>
      <c r="F22" s="238"/>
    </row>
    <row r="23" spans="1:6">
      <c r="A23" s="234"/>
      <c r="B23" s="236" t="s">
        <v>310</v>
      </c>
      <c r="C23" s="242" t="s">
        <v>301</v>
      </c>
      <c r="D23" s="350"/>
      <c r="E23" s="350"/>
      <c r="F23" s="238"/>
    </row>
    <row r="24" spans="1:6">
      <c r="A24" s="234"/>
      <c r="B24" s="236" t="s">
        <v>311</v>
      </c>
      <c r="C24" s="242" t="s">
        <v>301</v>
      </c>
      <c r="D24" s="353"/>
      <c r="E24" s="350"/>
      <c r="F24" s="242"/>
    </row>
    <row r="25" spans="1:6">
      <c r="A25" s="234"/>
      <c r="B25" s="239" t="s">
        <v>312</v>
      </c>
      <c r="C25" s="242" t="s">
        <v>301</v>
      </c>
      <c r="D25" s="350"/>
      <c r="E25" s="350"/>
      <c r="F25" s="238"/>
    </row>
    <row r="26" spans="1:6">
      <c r="A26" s="234"/>
      <c r="B26" s="239" t="s">
        <v>313</v>
      </c>
      <c r="C26" s="242" t="s">
        <v>301</v>
      </c>
      <c r="D26" s="350"/>
      <c r="E26" s="350"/>
      <c r="F26" s="238"/>
    </row>
    <row r="27" spans="1:6" ht="5.25" customHeight="1">
      <c r="A27" s="234"/>
      <c r="B27" s="234"/>
      <c r="C27" s="234"/>
      <c r="D27" s="234"/>
      <c r="E27" s="234"/>
      <c r="F27" s="234"/>
    </row>
    <row r="28" spans="1:6">
      <c r="A28" s="233" t="s">
        <v>314</v>
      </c>
      <c r="C28" s="234"/>
      <c r="D28" s="234"/>
      <c r="E28" s="234"/>
      <c r="F28" s="234"/>
    </row>
    <row r="29" spans="1:6">
      <c r="A29" s="234"/>
      <c r="B29" s="244" t="str">
        <f>IF(AnalysisMode="Transient","X     ","")</f>
        <v/>
      </c>
      <c r="C29" s="245" t="s">
        <v>65</v>
      </c>
      <c r="D29" s="234"/>
      <c r="E29" s="234"/>
      <c r="F29" s="234"/>
    </row>
    <row r="30" spans="1:6">
      <c r="B30" s="244" t="str">
        <f>IF(AnalysisMode="QSS","X     ","")</f>
        <v xml:space="preserve">X     </v>
      </c>
      <c r="C30" s="245" t="s">
        <v>315</v>
      </c>
      <c r="F30" s="234"/>
    </row>
    <row r="31" spans="1:6">
      <c r="B31" s="244" t="str">
        <f>IF(OR(AnalysisMode="Generalized (1/1)",AnalysisMode="Generalized (1/64)"),"X     ","")</f>
        <v/>
      </c>
      <c r="C31" s="232" t="s">
        <v>130</v>
      </c>
      <c r="F31" s="234"/>
    </row>
    <row r="32" spans="1:6" ht="7.5" customHeight="1">
      <c r="B32" s="246"/>
      <c r="F32" s="234"/>
    </row>
    <row r="33" spans="1:6">
      <c r="A33" s="234"/>
      <c r="B33" s="236" t="s">
        <v>316</v>
      </c>
      <c r="C33" s="346"/>
      <c r="D33" s="347"/>
      <c r="E33" s="348"/>
      <c r="F33" s="234"/>
    </row>
    <row r="34" spans="1:6">
      <c r="A34" s="234"/>
      <c r="B34" s="236" t="s">
        <v>317</v>
      </c>
      <c r="C34" s="340" t="str">
        <f>IF(BiasLight=0,"N/A","Software correction: Bias Light = " &amp;BiasLight &amp;" suns")</f>
        <v>N/A</v>
      </c>
      <c r="D34" s="349"/>
      <c r="E34" s="341"/>
      <c r="F34" s="234"/>
    </row>
    <row r="35" spans="1:6" ht="5.25" customHeight="1">
      <c r="A35" s="234"/>
      <c r="C35" s="234"/>
      <c r="D35" s="234"/>
      <c r="E35" s="234"/>
      <c r="F35" s="234"/>
    </row>
    <row r="36" spans="1:6">
      <c r="A36" s="233" t="s">
        <v>318</v>
      </c>
      <c r="C36" s="234"/>
      <c r="D36" s="234"/>
      <c r="E36" s="234"/>
      <c r="F36" s="234"/>
    </row>
    <row r="37" spans="1:6">
      <c r="A37" s="234"/>
      <c r="B37" s="342" t="s">
        <v>299</v>
      </c>
      <c r="C37" s="343"/>
      <c r="D37" s="342" t="s">
        <v>229</v>
      </c>
      <c r="E37" s="343"/>
      <c r="F37" s="235" t="s">
        <v>294</v>
      </c>
    </row>
    <row r="38" spans="1:6">
      <c r="A38" s="234"/>
      <c r="B38" s="333" t="s">
        <v>319</v>
      </c>
      <c r="C38" s="334"/>
      <c r="D38" s="340" t="str">
        <f>InstrumentType &amp;", Software v"&amp;User!L2</f>
        <v>WCT-120, Software v4.5.0</v>
      </c>
      <c r="E38" s="341"/>
      <c r="F38" s="242" t="s">
        <v>301</v>
      </c>
    </row>
    <row r="39" spans="1:6">
      <c r="A39" s="234"/>
      <c r="B39" s="333" t="s">
        <v>320</v>
      </c>
      <c r="C39" s="334"/>
      <c r="D39" s="340" t="str">
        <f>InstrumentSN</f>
        <v>10-125797</v>
      </c>
      <c r="E39" s="341"/>
      <c r="F39" s="242" t="s">
        <v>301</v>
      </c>
    </row>
    <row r="40" spans="1:6" ht="104.25" customHeight="1">
      <c r="A40" s="234"/>
      <c r="B40" s="333" t="s">
        <v>321</v>
      </c>
      <c r="C40" s="334"/>
      <c r="D40" s="340"/>
      <c r="E40" s="341"/>
      <c r="F40" s="238"/>
    </row>
    <row r="41" spans="1:6" ht="26.25" customHeight="1">
      <c r="A41" s="234"/>
      <c r="B41" s="330" t="s">
        <v>322</v>
      </c>
      <c r="C41" s="331"/>
      <c r="D41" s="338" t="str">
        <f>"Reference Cell Calibration = " &amp;ROUND(RefCellCal,3) &amp;" Optical Constant = " &amp;OptConst</f>
        <v>Reference Cell Calibration = 0.011 Optical Constant = 0.7</v>
      </c>
      <c r="E41" s="339"/>
      <c r="F41" s="247" t="s">
        <v>342</v>
      </c>
    </row>
    <row r="42" spans="1:6">
      <c r="A42" s="234"/>
      <c r="B42" s="333" t="s">
        <v>323</v>
      </c>
      <c r="C42" s="334"/>
      <c r="D42" s="336" t="s">
        <v>324</v>
      </c>
      <c r="E42" s="336"/>
      <c r="F42" s="242" t="s">
        <v>301</v>
      </c>
    </row>
    <row r="43" spans="1:6" ht="24.75" customHeight="1">
      <c r="A43" s="234"/>
      <c r="B43" s="330" t="s">
        <v>340</v>
      </c>
      <c r="C43" s="331"/>
      <c r="D43" s="338" t="str">
        <f>"SEMI PV13 (A,B,C = " &amp;ROUND(A_cal,5) &amp;", "&amp;ROUND(B_cal,5) &amp;", " &amp;ROUND(C_cal,5) &amp;")"</f>
        <v>SEMI PV13 (A,B,C = 0.00026, 0.0319, -0.85085)</v>
      </c>
      <c r="E43" s="339"/>
      <c r="F43" s="242" t="s">
        <v>301</v>
      </c>
    </row>
    <row r="44" spans="1:6">
      <c r="A44" s="234"/>
      <c r="B44" s="333" t="s">
        <v>325</v>
      </c>
      <c r="C44" s="334"/>
      <c r="D44" s="335" t="s">
        <v>301</v>
      </c>
      <c r="E44" s="336"/>
      <c r="F44" s="242" t="s">
        <v>301</v>
      </c>
    </row>
    <row r="45" spans="1:6" ht="13.5">
      <c r="A45" s="234"/>
      <c r="B45" s="330" t="s">
        <v>326</v>
      </c>
      <c r="C45" s="331"/>
      <c r="D45" s="337">
        <f>PI()*(4/2)^2</f>
        <v>12.566370614359172</v>
      </c>
      <c r="E45" s="337"/>
      <c r="F45" s="238" t="s">
        <v>341</v>
      </c>
    </row>
    <row r="46" spans="1:6">
      <c r="A46" s="234"/>
      <c r="B46" s="330" t="s">
        <v>327</v>
      </c>
      <c r="C46" s="331"/>
      <c r="D46" s="336" t="s">
        <v>328</v>
      </c>
      <c r="E46" s="336"/>
      <c r="F46" s="242" t="s">
        <v>301</v>
      </c>
    </row>
    <row r="47" spans="1:6">
      <c r="B47" s="330" t="s">
        <v>343</v>
      </c>
      <c r="C47" s="331"/>
      <c r="D47" s="332"/>
      <c r="E47" s="332"/>
      <c r="F47" s="248"/>
    </row>
  </sheetData>
  <sheetProtection sheet="1" objects="1" scenarios="1" selectLockedCells="1"/>
  <mergeCells count="45">
    <mergeCell ref="D19:E19"/>
    <mergeCell ref="D25:E25"/>
    <mergeCell ref="D26:E26"/>
    <mergeCell ref="D20:E20"/>
    <mergeCell ref="D21:E21"/>
    <mergeCell ref="D22:E22"/>
    <mergeCell ref="D23:E23"/>
    <mergeCell ref="D24:E24"/>
    <mergeCell ref="B42:C42"/>
    <mergeCell ref="D42:E42"/>
    <mergeCell ref="C2:G4"/>
    <mergeCell ref="D7:E7"/>
    <mergeCell ref="D8:E8"/>
    <mergeCell ref="C33:E33"/>
    <mergeCell ref="C34:E34"/>
    <mergeCell ref="D9:E9"/>
    <mergeCell ref="D11:E11"/>
    <mergeCell ref="D12:E12"/>
    <mergeCell ref="D13:E13"/>
    <mergeCell ref="D14:E14"/>
    <mergeCell ref="D15:E15"/>
    <mergeCell ref="D16:E16"/>
    <mergeCell ref="D17:E17"/>
    <mergeCell ref="D18:E18"/>
    <mergeCell ref="D41:E41"/>
    <mergeCell ref="B37:C37"/>
    <mergeCell ref="D37:E37"/>
    <mergeCell ref="B38:C38"/>
    <mergeCell ref="D38:E38"/>
    <mergeCell ref="D10:E10"/>
    <mergeCell ref="B47:C47"/>
    <mergeCell ref="D47:E47"/>
    <mergeCell ref="B44:C44"/>
    <mergeCell ref="D44:E44"/>
    <mergeCell ref="B45:C45"/>
    <mergeCell ref="D45:E45"/>
    <mergeCell ref="B46:C46"/>
    <mergeCell ref="D46:E46"/>
    <mergeCell ref="B43:C43"/>
    <mergeCell ref="D43:E43"/>
    <mergeCell ref="B39:C39"/>
    <mergeCell ref="D39:E39"/>
    <mergeCell ref="B40:C40"/>
    <mergeCell ref="D40:E40"/>
    <mergeCell ref="B41:C41"/>
  </mergeCells>
  <pageMargins left="0.7" right="0.7" top="0.75" bottom="0.75" header="0.3" footer="0.3"/>
  <pageSetup scale="9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4"/>
  <sheetViews>
    <sheetView workbookViewId="0">
      <selection activeCell="C4" sqref="C4"/>
    </sheetView>
  </sheetViews>
  <sheetFormatPr defaultRowHeight="12.75"/>
  <cols>
    <col min="1" max="1" width="9.140625" style="104"/>
    <col min="2" max="2" width="22.42578125" style="104" customWidth="1"/>
    <col min="3" max="3" width="12.28515625" style="104" customWidth="1"/>
    <col min="4" max="4" width="17.7109375" style="104" customWidth="1"/>
    <col min="5" max="5" width="13.140625" style="104" customWidth="1"/>
    <col min="6" max="6" width="11.85546875" style="104" customWidth="1"/>
    <col min="7" max="7" width="19.7109375" style="104" customWidth="1"/>
    <col min="8" max="8" width="13.28515625" style="104" customWidth="1"/>
    <col min="9" max="9" width="12.7109375" style="104" customWidth="1"/>
    <col min="10" max="11" width="9.140625" style="104"/>
    <col min="12" max="12" width="12.42578125" style="104" bestFit="1" customWidth="1"/>
    <col min="13" max="16384" width="9.140625" style="104"/>
  </cols>
  <sheetData>
    <row r="1" spans="1:13" ht="14.25" customHeight="1"/>
    <row r="2" spans="1:13">
      <c r="B2" s="139" t="s">
        <v>228</v>
      </c>
      <c r="C2" s="140" t="s">
        <v>229</v>
      </c>
      <c r="D2" s="140" t="s">
        <v>204</v>
      </c>
      <c r="E2" s="139" t="s">
        <v>230</v>
      </c>
    </row>
    <row r="3" spans="1:13" ht="15.75" customHeight="1">
      <c r="B3" s="104" t="s">
        <v>51</v>
      </c>
      <c r="C3" s="142">
        <v>0.5</v>
      </c>
      <c r="D3" s="107">
        <f>VLOOKUP(C3,$D$30:$E$37,2,FALSE)</f>
        <v>20</v>
      </c>
      <c r="E3" s="104" t="str">
        <f>" /pcgain="&amp;D3</f>
        <v xml:space="preserve"> /pcgain=20</v>
      </c>
      <c r="F3" s="105"/>
      <c r="G3" s="104" t="s">
        <v>50</v>
      </c>
      <c r="H3" s="108" t="s">
        <v>361</v>
      </c>
    </row>
    <row r="4" spans="1:13">
      <c r="B4" s="104" t="s">
        <v>52</v>
      </c>
      <c r="C4" s="142">
        <v>0.5</v>
      </c>
      <c r="D4" s="107">
        <f>VLOOKUP(C4,$D$30:$E$37,2,FALSE)</f>
        <v>20</v>
      </c>
      <c r="E4" s="104" t="str">
        <f>" /refgain="&amp;D4</f>
        <v xml:space="preserve"> /refgain=20</v>
      </c>
      <c r="F4" s="105"/>
      <c r="G4" s="109" t="s">
        <v>234</v>
      </c>
      <c r="H4" s="109" t="str">
        <f>PathName&amp;PCGainFlag&amp;RefGainFlag&amp;BaseGainFlag&amp;xferFlag&amp;flashWaitFlag&amp;numFlashesFlag&amp;TimeScaleFlags</f>
        <v>C:\lifetime\lifetime.exe /subbase=2 /basetime_us=20000 /pcgain=20 /refgain=20 /basegain=1 /xfer=125 /flashwait_s=6 /numflashes=1 /pulselength=32000</v>
      </c>
      <c r="L4" s="108"/>
    </row>
    <row r="5" spans="1:13">
      <c r="B5" s="104" t="s">
        <v>53</v>
      </c>
      <c r="C5" s="142">
        <v>10</v>
      </c>
      <c r="D5" s="107">
        <f>VLOOKUP(C5,$D$30:$E$37,2,FALSE)</f>
        <v>1</v>
      </c>
      <c r="E5" s="104" t="str">
        <f>" /basegain="&amp;D5</f>
        <v xml:space="preserve"> /basegain=1</v>
      </c>
      <c r="G5" s="145" t="s">
        <v>233</v>
      </c>
      <c r="H5" s="145" t="str">
        <f>"C:\lifetime\lifetime.exe /baseonly=true /autoexit=true"&amp;E12</f>
        <v>C:\lifetime\lifetime.exe /baseonly=true /autoexit=true /basegain=10</v>
      </c>
    </row>
    <row r="6" spans="1:13">
      <c r="B6" s="108" t="s">
        <v>271</v>
      </c>
      <c r="C6" s="143">
        <f>PulseLength</f>
        <v>32000</v>
      </c>
      <c r="D6" s="107"/>
      <c r="E6" s="104" t="str">
        <f>" /pulselength="&amp;PulseLength</f>
        <v xml:space="preserve"> /pulselength=32000</v>
      </c>
    </row>
    <row r="7" spans="1:13">
      <c r="B7" s="108" t="s">
        <v>248</v>
      </c>
      <c r="C7" s="143">
        <f>TSampleTime</f>
        <v>100000</v>
      </c>
      <c r="D7" s="107"/>
      <c r="E7" s="104" t="str">
        <f>" /ltransient="&amp;C7</f>
        <v xml:space="preserve"> /ltransient=100000</v>
      </c>
      <c r="G7" s="108" t="s">
        <v>272</v>
      </c>
      <c r="H7" s="104" t="str">
        <f>IF(OR(AnalysisMode = "Transient",AnalysisMode = "Generalized (1/64)"),ltransientFlag&amp;ntransientFlag,PulseLengthFlag)</f>
        <v xml:space="preserve"> /pulselength=32000</v>
      </c>
    </row>
    <row r="8" spans="1:13">
      <c r="B8" s="108" t="s">
        <v>253</v>
      </c>
      <c r="C8" s="143">
        <f>TNumTaus</f>
        <v>3</v>
      </c>
      <c r="D8" s="107"/>
      <c r="E8" s="104" t="str">
        <f>" /ntransient="&amp;C8</f>
        <v xml:space="preserve"> /ntransient=3</v>
      </c>
    </row>
    <row r="9" spans="1:13">
      <c r="A9" s="107"/>
      <c r="B9" s="105" t="s">
        <v>54</v>
      </c>
      <c r="C9" s="142">
        <v>125</v>
      </c>
      <c r="D9" s="107"/>
      <c r="E9" s="108" t="str">
        <f>" /xfer="&amp;C9</f>
        <v xml:space="preserve"> /xfer=125</v>
      </c>
      <c r="J9" s="105"/>
      <c r="L9" s="105"/>
      <c r="M9" s="105"/>
    </row>
    <row r="10" spans="1:13">
      <c r="A10" s="107"/>
      <c r="B10" s="106" t="s">
        <v>82</v>
      </c>
      <c r="C10" s="142">
        <f>IF(OR(AnalysisMode="Transient",AnalysisMode="Generalized (1/64)"),TransFlashDelay,QSSFlashDelay)</f>
        <v>6</v>
      </c>
      <c r="D10" s="107"/>
      <c r="E10" s="104" t="str">
        <f>" /flashwait_s="&amp;C10</f>
        <v xml:space="preserve"> /flashwait_s=6</v>
      </c>
      <c r="J10" s="105"/>
    </row>
    <row r="11" spans="1:13">
      <c r="A11" s="107"/>
      <c r="B11" s="169" t="s">
        <v>243</v>
      </c>
      <c r="C11" s="142">
        <v>1</v>
      </c>
      <c r="D11" s="107"/>
      <c r="E11" s="104" t="str">
        <f>" /numflashes="&amp;C11</f>
        <v xml:space="preserve"> /numflashes=1</v>
      </c>
      <c r="J11" s="105"/>
    </row>
    <row r="12" spans="1:13">
      <c r="A12" s="107"/>
      <c r="B12" s="108" t="s">
        <v>231</v>
      </c>
      <c r="C12" s="141">
        <f>AirVoltageRange</f>
        <v>1</v>
      </c>
      <c r="D12" s="107">
        <f>VLOOKUP(C12,$D$30:$E$37,2,FALSE)</f>
        <v>10</v>
      </c>
      <c r="E12" s="104" t="str">
        <f>" /basegain="&amp;D12</f>
        <v xml:space="preserve"> /basegain=10</v>
      </c>
      <c r="J12" s="105"/>
      <c r="L12" s="105"/>
    </row>
    <row r="13" spans="1:13">
      <c r="A13" s="107"/>
    </row>
    <row r="14" spans="1:13">
      <c r="A14" s="107"/>
      <c r="D14" s="109"/>
      <c r="E14" s="109"/>
      <c r="F14" s="109"/>
      <c r="G14" s="109"/>
      <c r="H14" s="109"/>
      <c r="I14" s="109"/>
      <c r="J14" s="109"/>
      <c r="K14" s="109"/>
    </row>
    <row r="15" spans="1:13">
      <c r="A15" s="107"/>
      <c r="B15" s="139" t="s">
        <v>235</v>
      </c>
      <c r="C15" s="164" t="s">
        <v>236</v>
      </c>
      <c r="D15" s="165"/>
      <c r="E15" s="166" t="s">
        <v>237</v>
      </c>
      <c r="F15" s="153"/>
    </row>
    <row r="16" spans="1:13">
      <c r="A16" s="107"/>
      <c r="B16" s="143" t="s">
        <v>19</v>
      </c>
      <c r="C16" s="167" t="s">
        <v>238</v>
      </c>
      <c r="D16" s="168" t="s">
        <v>239</v>
      </c>
      <c r="E16" s="167" t="s">
        <v>238</v>
      </c>
      <c r="F16" s="168" t="s">
        <v>239</v>
      </c>
      <c r="G16" s="144" t="s">
        <v>242</v>
      </c>
    </row>
    <row r="17" spans="1:7">
      <c r="A17" s="107"/>
      <c r="B17" s="107">
        <v>0</v>
      </c>
      <c r="C17" s="154">
        <f>C3</f>
        <v>0.5</v>
      </c>
      <c r="D17" s="155">
        <f>C17*G17</f>
        <v>0.2</v>
      </c>
      <c r="E17" s="154">
        <f>C4</f>
        <v>0.5</v>
      </c>
      <c r="F17" s="155">
        <f>E17*G17</f>
        <v>0.2</v>
      </c>
      <c r="G17" s="162">
        <v>0.4</v>
      </c>
    </row>
    <row r="18" spans="1:7">
      <c r="A18" s="107"/>
      <c r="B18" s="152">
        <f>Calc!A133</f>
        <v>3.1871900000000002E-2</v>
      </c>
      <c r="C18" s="154">
        <f>C3</f>
        <v>0.5</v>
      </c>
      <c r="D18" s="155">
        <f>C18*G17</f>
        <v>0.2</v>
      </c>
      <c r="E18" s="154">
        <f>C4</f>
        <v>0.5</v>
      </c>
      <c r="F18" s="155">
        <f>E18*G17</f>
        <v>0.2</v>
      </c>
    </row>
    <row r="19" spans="1:7">
      <c r="A19" s="107"/>
      <c r="C19" s="156"/>
      <c r="D19" s="157"/>
      <c r="E19" s="156"/>
      <c r="F19" s="157"/>
    </row>
    <row r="20" spans="1:7">
      <c r="A20" s="107"/>
      <c r="B20" s="144" t="s">
        <v>240</v>
      </c>
      <c r="C20" s="156"/>
      <c r="D20" s="157"/>
      <c r="E20" s="156"/>
      <c r="F20" s="157"/>
    </row>
    <row r="21" spans="1:7">
      <c r="A21" s="107"/>
      <c r="B21" s="108" t="s">
        <v>241</v>
      </c>
      <c r="C21" s="158">
        <f>Calc!B150</f>
        <v>0.30723099999999998</v>
      </c>
      <c r="D21" s="157"/>
      <c r="E21" s="161">
        <f>Calc!B152</f>
        <v>0.49633100000000002</v>
      </c>
      <c r="F21" s="157"/>
    </row>
    <row r="22" spans="1:7">
      <c r="A22" s="107"/>
      <c r="B22" s="108" t="s">
        <v>255</v>
      </c>
      <c r="C22" s="156" t="b">
        <f>AND(C21&gt;0.95*Command!C17,D3&lt;&gt;-1)</f>
        <v>0</v>
      </c>
      <c r="D22" s="157"/>
      <c r="E22" s="156" t="b">
        <f>IF(AnalysisMode = "Transient", FALSE, AND(E21&gt;0.95*E17,D4&lt;&gt;10))</f>
        <v>1</v>
      </c>
      <c r="F22" s="157"/>
    </row>
    <row r="23" spans="1:7">
      <c r="A23" s="107"/>
      <c r="B23" s="108" t="s">
        <v>256</v>
      </c>
      <c r="C23" s="156" t="b">
        <f>AND(C21&lt;Command!D17,D3&lt;&gt;50)</f>
        <v>0</v>
      </c>
      <c r="D23" s="157"/>
      <c r="E23" s="156" t="b">
        <f>IF(AnalysisMode = "Transient", IF(D4&lt;&gt;50,TRUE,FALSE),AND(E21&lt;F17,D4&lt;&gt;50))</f>
        <v>0</v>
      </c>
      <c r="F23" s="157"/>
    </row>
    <row r="24" spans="1:7">
      <c r="A24" s="107"/>
      <c r="B24" s="163"/>
      <c r="C24" s="156"/>
      <c r="D24" s="157"/>
      <c r="E24" s="156"/>
      <c r="F24" s="157"/>
      <c r="G24" s="105"/>
    </row>
    <row r="25" spans="1:7">
      <c r="A25" s="107"/>
      <c r="B25" s="108"/>
      <c r="C25" s="159"/>
      <c r="D25" s="160"/>
      <c r="E25" s="159"/>
      <c r="F25" s="160"/>
      <c r="G25" s="105"/>
    </row>
    <row r="26" spans="1:7">
      <c r="A26" s="107"/>
    </row>
    <row r="28" spans="1:7">
      <c r="B28" s="34" t="s">
        <v>225</v>
      </c>
    </row>
    <row r="29" spans="1:7">
      <c r="B29" s="103" t="b">
        <v>1</v>
      </c>
      <c r="D29" s="111" t="s">
        <v>205</v>
      </c>
      <c r="E29" s="111" t="s">
        <v>204</v>
      </c>
    </row>
    <row r="30" spans="1:7">
      <c r="B30" s="103" t="b">
        <v>0</v>
      </c>
      <c r="D30" s="110">
        <v>0.2</v>
      </c>
      <c r="E30" s="110">
        <v>50</v>
      </c>
    </row>
    <row r="31" spans="1:7">
      <c r="B31" s="34"/>
      <c r="D31" s="110">
        <v>0.5</v>
      </c>
      <c r="E31" s="110">
        <v>20</v>
      </c>
    </row>
    <row r="32" spans="1:7">
      <c r="B32" s="64" t="s">
        <v>367</v>
      </c>
      <c r="D32" s="110">
        <v>1</v>
      </c>
      <c r="E32" s="110">
        <v>10</v>
      </c>
    </row>
    <row r="33" spans="2:5">
      <c r="B33" s="64" t="s">
        <v>366</v>
      </c>
      <c r="D33" s="110">
        <v>2</v>
      </c>
      <c r="E33" s="110">
        <v>5</v>
      </c>
    </row>
    <row r="34" spans="2:5">
      <c r="B34" s="64" t="s">
        <v>226</v>
      </c>
      <c r="D34" s="110">
        <v>5</v>
      </c>
      <c r="E34" s="110">
        <v>2</v>
      </c>
    </row>
    <row r="35" spans="2:5">
      <c r="B35" s="64" t="s">
        <v>65</v>
      </c>
      <c r="D35" s="110">
        <v>10</v>
      </c>
      <c r="E35" s="110">
        <v>1</v>
      </c>
    </row>
    <row r="36" spans="2:5">
      <c r="B36" s="34"/>
      <c r="D36" s="110">
        <v>20</v>
      </c>
      <c r="E36" s="110">
        <v>-1</v>
      </c>
    </row>
    <row r="37" spans="2:5">
      <c r="B37" s="64" t="s">
        <v>26</v>
      </c>
      <c r="D37" s="110">
        <v>40</v>
      </c>
      <c r="E37" s="110">
        <v>-2</v>
      </c>
    </row>
    <row r="38" spans="2:5">
      <c r="B38" s="64" t="s">
        <v>227</v>
      </c>
    </row>
    <row r="40" spans="2:5">
      <c r="B40" s="111" t="s">
        <v>370</v>
      </c>
    </row>
    <row r="41" spans="2:5">
      <c r="B41" s="111" t="s">
        <v>371</v>
      </c>
    </row>
    <row r="43" spans="2:5">
      <c r="B43" s="111" t="s">
        <v>372</v>
      </c>
    </row>
    <row r="44" spans="2:5">
      <c r="B44" s="111" t="s">
        <v>373</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122</vt:i4>
      </vt:variant>
    </vt:vector>
  </HeadingPairs>
  <TitlesOfParts>
    <vt:vector size="129" baseType="lpstr">
      <vt:lpstr>CoverSheet</vt:lpstr>
      <vt:lpstr>InputRanges</vt:lpstr>
      <vt:lpstr>User</vt:lpstr>
      <vt:lpstr>Settings</vt:lpstr>
      <vt:lpstr>Summary</vt:lpstr>
      <vt:lpstr>RawData</vt:lpstr>
      <vt:lpstr>Report</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BandGapOption</vt:lpstr>
      <vt:lpstr>BaseGainFlag</vt:lpstr>
      <vt:lpstr>BiasLight</vt:lpstr>
      <vt:lpstr>BiasPtCD</vt:lpstr>
      <vt:lpstr>C_cal</vt:lpstr>
      <vt:lpstr>C_wafer</vt:lpstr>
      <vt:lpstr>CouplingMode</vt:lpstr>
      <vt:lpstr>CoverSheetErrorMsg</vt:lpstr>
      <vt:lpstr>Dark_Voltage</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ImpliedVoc1sun</vt:lpstr>
      <vt:lpstr>InputRangeAvg</vt:lpstr>
      <vt:lpstr>InputRangeFit</vt:lpstr>
      <vt:lpstr>InputRangeMCD</vt:lpstr>
      <vt:lpstr>InputRangeMode</vt:lpstr>
      <vt:lpstr>InputRangeOptConst</vt:lpstr>
      <vt:lpstr>InputRangePC</vt:lpstr>
      <vt:lpstr>InputRangeRef</vt:lpstr>
      <vt:lpstr>InputRangeType</vt:lpstr>
      <vt:lpstr>InputResCoverSheet</vt:lpstr>
      <vt:lpstr>InputResistivity</vt:lpstr>
      <vt:lpstr>InstrumentSN</vt:lpstr>
      <vt:lpstr>InstrumentType</vt:lpstr>
      <vt:lpstr>IsLogged</vt:lpstr>
      <vt:lpstr>Jo</vt:lpstr>
      <vt:lpstr>LifetimeTextLabel</vt:lpstr>
      <vt:lpstr>LightBiasErrorMsg</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MinApparentCD</vt:lpstr>
      <vt:lpstr>MinTauLimit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Report!Print_Area</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SampleInputType</vt:lpstr>
      <vt:lpstr>SampleNameCoverSheet</vt:lpstr>
      <vt:lpstr>SampleNameUserSheet</vt:lpstr>
      <vt:lpstr>SampleType</vt:lpstr>
      <vt:lpstr>SheetResistance</vt:lpstr>
      <vt:lpstr>ShowUserForm</vt:lpstr>
      <vt:lpstr>SpecMCD</vt:lpstr>
      <vt:lpstr>SpecMCDminusTraps</vt:lpstr>
      <vt:lpstr>TauFitIntercept</vt:lpstr>
      <vt:lpstr>TauInvspecMCD</vt:lpstr>
      <vt:lpstr>TextSummary</vt:lpstr>
      <vt:lpstr>TextSummaryFN</vt:lpstr>
      <vt:lpstr>TF_List</vt:lpstr>
      <vt:lpstr>TF_PassFail</vt:lpstr>
      <vt:lpstr>Thickness</vt:lpstr>
      <vt:lpstr>ThicknessCoverSheet</vt:lpstr>
      <vt:lpstr>TimeofMaxCD</vt:lpstr>
      <vt:lpstr>TimeScaleFlags</vt:lpstr>
      <vt:lpstr>TNumTaus</vt:lpstr>
      <vt:lpstr>TransFlashDelay</vt:lpstr>
      <vt:lpstr>Traps</vt:lpstr>
      <vt:lpstr>TSampleTime</vt:lpstr>
      <vt:lpstr>type_list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Operator</cp:lastModifiedBy>
  <cp:lastPrinted>2012-01-16T22:35:25Z</cp:lastPrinted>
  <dcterms:created xsi:type="dcterms:W3CDTF">1998-06-23T16:13:05Z</dcterms:created>
  <dcterms:modified xsi:type="dcterms:W3CDTF">2015-07-31T02:51:46Z</dcterms:modified>
</cp:coreProperties>
</file>